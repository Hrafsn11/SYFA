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m SBU" sheetId="1" state="visible" r:id="rId3"/>
  </sheets>
  <definedNames>
    <definedName function="false" hidden="false" localSheetId="0" name="_xlnm.Print_Titles" vbProcedure="false">'Mom SBU'!$2:$8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<sst xmlns="http://schemas.openxmlformats.org/spreadsheetml/2006/main" count="201" uniqueCount="192">
  <si>
    <t xml:space="preserve">Laporan Laba Rugi </t>
  </si>
  <si>
    <t xml:space="preserve">MALAKA</t>
  </si>
  <si>
    <t xml:space="preserve">MALAKA RESEARCH</t>
  </si>
  <si>
    <t xml:space="preserve">KETERANGAN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</si>
  <si>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</si>
  <si>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</si>
  <si>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</si>
  <si>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</si>
  <si>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</si>
  <si>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</si>
  <si>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</si>
  <si>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</si>
  <si>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</si>
  <si>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</si>
  <si>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</si>
  <si>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December</t>
  </si>
  <si>
    <t xml:space="preserve">Total</t>
  </si>
  <si>
    <t xml:space="preserve">A</t>
  </si>
  <si>
    <t xml:space="preserve">PENDAPATAN</t>
  </si>
  <si>
    <t xml:space="preserve">Pendapatan Operasional</t>
  </si>
  <si>
    <t xml:space="preserve">Pendapatan Operasional Lain</t>
  </si>
  <si>
    <t xml:space="preserve">Pendapatan Jasa Digital</t>
  </si>
  <si>
    <t xml:space="preserve">Pendapatan Jasa Koperasi</t>
  </si>
  <si>
    <t xml:space="preserve">Penjualan Panen Segar</t>
  </si>
  <si>
    <t xml:space="preserve">Pendapatan Trekking.id</t>
  </si>
  <si>
    <t xml:space="preserve">Potongan Penjualan</t>
  </si>
  <si>
    <t xml:space="preserve">Return Penjualan</t>
  </si>
  <si>
    <t xml:space="preserve">Discount Penjualan</t>
  </si>
  <si>
    <t xml:space="preserve">TOTAL PENDAPATAN OPERASIONAL </t>
  </si>
  <si>
    <t xml:space="preserve">B</t>
  </si>
  <si>
    <t xml:space="preserve">BIAYA LANGSUNG</t>
  </si>
  <si>
    <t xml:space="preserve">Tenaga Kerja Langsung</t>
  </si>
  <si>
    <t xml:space="preserve">Biaya Tenaga Ahli</t>
  </si>
  <si>
    <t xml:space="preserve">Komisi Penjualan</t>
  </si>
  <si>
    <t xml:space="preserve">Gaji Pegawai Langsung</t>
  </si>
  <si>
    <t xml:space="preserve">Tunjangan Pegawai</t>
  </si>
  <si>
    <t xml:space="preserve"> </t>
  </si>
  <si>
    <t xml:space="preserve">Project</t>
  </si>
  <si>
    <t xml:space="preserve">HPP</t>
  </si>
  <si>
    <t xml:space="preserve">Mitra Malaka</t>
  </si>
  <si>
    <t xml:space="preserve">Biaya Operasional Lain -lain</t>
  </si>
  <si>
    <t xml:space="preserve">  </t>
  </si>
  <si>
    <t xml:space="preserve">Biaya Transportasi Operasional</t>
  </si>
  <si>
    <t xml:space="preserve">Perawatan Kendaraan</t>
  </si>
  <si>
    <t xml:space="preserve">Biaya Administrasi Kendaraan</t>
  </si>
  <si>
    <t xml:space="preserve">Biaya Perjalanan Dinas</t>
  </si>
  <si>
    <t xml:space="preserve">Biaya Sertifikasi</t>
  </si>
  <si>
    <t xml:space="preserve">Perangkat atau Peralatan</t>
  </si>
  <si>
    <t xml:space="preserve">Penggantian Internet</t>
  </si>
  <si>
    <t xml:space="preserve">Biaya Operasional Lainnya</t>
  </si>
  <si>
    <t xml:space="preserve">Biaya Adm Bank Garansi</t>
  </si>
  <si>
    <t xml:space="preserve">Biaya Adm (Operasional)</t>
  </si>
  <si>
    <t xml:space="preserve">Biaya administrasi Legalitas</t>
  </si>
  <si>
    <t xml:space="preserve">Biaya Manage Service</t>
  </si>
  <si>
    <t xml:space="preserve">Biaya Pegawai Operasional</t>
  </si>
  <si>
    <t xml:space="preserve">Gaji Karyawan Operasional</t>
  </si>
  <si>
    <t xml:space="preserve">Lembur Karyawan Operasional</t>
  </si>
  <si>
    <t xml:space="preserve">Tunjangan Hari Raya Operasional</t>
  </si>
  <si>
    <t xml:space="preserve">Tunjangan/ Komisi, Bonus atau Fee Operasional</t>
  </si>
  <si>
    <t xml:space="preserve">Beban Pegawai Magang Operasional</t>
  </si>
  <si>
    <t xml:space="preserve">Tunjangan Kehadiran Operasional</t>
  </si>
  <si>
    <t xml:space="preserve">Tunjangan Kesehatan (Medical) Operasional</t>
  </si>
  <si>
    <t xml:space="preserve">Tunjangan BPJS Operasional</t>
  </si>
  <si>
    <t xml:space="preserve">Tunjangan PPH Pasal 21 Operasional</t>
  </si>
  <si>
    <t xml:space="preserve">Tunjangan Pensiun Operasional</t>
  </si>
  <si>
    <t xml:space="preserve">Tunjangan Telekomunikasi Operasional</t>
  </si>
  <si>
    <t xml:space="preserve">Tunjangan Lainnya/Tunjangan Koperasi Operasional</t>
  </si>
  <si>
    <t xml:space="preserve">Biaya Pegawai Sales &amp; Marketing</t>
  </si>
  <si>
    <t xml:space="preserve">Gaji Karyawan Sales &amp; Marketing</t>
  </si>
  <si>
    <t xml:space="preserve">Lembur Karyawan Sales &amp; Marketing</t>
  </si>
  <si>
    <t xml:space="preserve">Tunjangan Hari Raya Sales &amp; Marketing</t>
  </si>
  <si>
    <t xml:space="preserve">Tunjangan/ Komisi, Bonus atau Fee Sales &amp; Marketing</t>
  </si>
  <si>
    <t xml:space="preserve">Beban Pegawai Magang Sales &amp; Marketing</t>
  </si>
  <si>
    <t xml:space="preserve">Tunjangan Kehadiran Sales &amp; Marketing</t>
  </si>
  <si>
    <t xml:space="preserve">Tunjangan Kesehatan (Medical) Sales &amp; Marketing</t>
  </si>
  <si>
    <t xml:space="preserve">Tunjangan BPJS Sales &amp; Marketing</t>
  </si>
  <si>
    <t xml:space="preserve">Tunjangan PPH Pasal 21 Sales &amp; Marketing</t>
  </si>
  <si>
    <t xml:space="preserve">Tunjangan Pensiun Sales &amp; Marketing</t>
  </si>
  <si>
    <t xml:space="preserve">Tunjangan Telekomunikasi Sales &amp; Marketing</t>
  </si>
  <si>
    <t xml:space="preserve">Tunjangan Lainnya/Tunjangan Koperasi Sales &amp; Marketing</t>
  </si>
  <si>
    <t xml:space="preserve">TOTAL BIAYA OPERASIONAL</t>
  </si>
  <si>
    <t xml:space="preserve">LABA  OPERASIONAL</t>
  </si>
  <si>
    <t xml:space="preserve">Margin</t>
  </si>
  <si>
    <t xml:space="preserve">C</t>
  </si>
  <si>
    <t xml:space="preserve">BIAYA UMUM &amp; ADMINISTRASI</t>
  </si>
  <si>
    <t xml:space="preserve">Biaya Pegawai</t>
  </si>
  <si>
    <t xml:space="preserve">Gaji Karyawan</t>
  </si>
  <si>
    <t xml:space="preserve">Lembur Karyawan</t>
  </si>
  <si>
    <t xml:space="preserve">Tunjangan Hari Raya</t>
  </si>
  <si>
    <t xml:space="preserve">Tunjangan/Komisi, Bonus atau Fee</t>
  </si>
  <si>
    <t xml:space="preserve">Beban Pegawai Magang</t>
  </si>
  <si>
    <t xml:space="preserve">Tunjangan Kehadiran</t>
  </si>
  <si>
    <t xml:space="preserve">Tunjangan Kesehatan (Medical)</t>
  </si>
  <si>
    <t xml:space="preserve">Tunjangan BPJS</t>
  </si>
  <si>
    <t xml:space="preserve">Tunjangan PPh Pasal 21</t>
  </si>
  <si>
    <t xml:space="preserve">Tunjangan Pensiun</t>
  </si>
  <si>
    <t xml:space="preserve">Pesangon Karyawan</t>
  </si>
  <si>
    <t xml:space="preserve">Tunjangan Telekomunikasi</t>
  </si>
  <si>
    <t xml:space="preserve">Tunjangan Lainnya/Tunjangan Koperasi Manajemen</t>
  </si>
  <si>
    <t xml:space="preserve">Tunjangan Lainnya/Tunjangan Koperasi Supporting</t>
  </si>
  <si>
    <t xml:space="preserve">Transportasi dan Perjalanan Dinas</t>
  </si>
  <si>
    <t xml:space="preserve">Beban Transportasi Umum</t>
  </si>
  <si>
    <t xml:space="preserve">Beban Perjalanan Dinas Umum</t>
  </si>
  <si>
    <t xml:space="preserve">Biaya Kantor</t>
  </si>
  <si>
    <t xml:space="preserve">Beban Peralatan Kantor &amp; Perangkat Kerja</t>
  </si>
  <si>
    <t xml:space="preserve">Beban Alat Tulis Kantor</t>
  </si>
  <si>
    <t xml:space="preserve">Beban Listrik &amp; PAM</t>
  </si>
  <si>
    <t xml:space="preserve">Beban Telepon dan Internet Kantor</t>
  </si>
  <si>
    <t xml:space="preserve">Beban Ponsel</t>
  </si>
  <si>
    <t xml:space="preserve">Beban Fotocopy dan Cetak</t>
  </si>
  <si>
    <t xml:space="preserve">Beban Sewa Kantor</t>
  </si>
  <si>
    <t xml:space="preserve">Beban Pengiriman</t>
  </si>
  <si>
    <t xml:space="preserve">Beban Materai</t>
  </si>
  <si>
    <t xml:space="preserve">Beban Kantor Lainnya</t>
  </si>
  <si>
    <t xml:space="preserve">Beban Perlengkapan Kantor</t>
  </si>
  <si>
    <t xml:space="preserve">Biaya Pemeliharaan</t>
  </si>
  <si>
    <t xml:space="preserve">Beban Pemeliharaan Kendaraan</t>
  </si>
  <si>
    <t xml:space="preserve">Beban Adm Kendaraan</t>
  </si>
  <si>
    <t xml:space="preserve">Beban Asuransi Aset</t>
  </si>
  <si>
    <t xml:space="preserve">Beban Pemeliharaan Peralatan Kantor</t>
  </si>
  <si>
    <t xml:space="preserve">Beban Pemeliharaan Kantor</t>
  </si>
  <si>
    <t xml:space="preserve">Biaya Rumah Tangga</t>
  </si>
  <si>
    <t xml:space="preserve">Beban Rapat</t>
  </si>
  <si>
    <t xml:space="preserve">Beban Dekorasi</t>
  </si>
  <si>
    <t xml:space="preserve">Beban Pelatihan, Seminar, dan Pendidikan Internal</t>
  </si>
  <si>
    <t xml:space="preserve">Beban Pantry</t>
  </si>
  <si>
    <t xml:space="preserve">Biaya Promosi</t>
  </si>
  <si>
    <t xml:space="preserve">Beban Iklan</t>
  </si>
  <si>
    <t xml:space="preserve">Beban Cetak</t>
  </si>
  <si>
    <t xml:space="preserve">Beban Marketing dan Promosi</t>
  </si>
  <si>
    <t xml:space="preserve">Beban Entertainment</t>
  </si>
  <si>
    <t xml:space="preserve">Beban Umum Lain-lain</t>
  </si>
  <si>
    <t xml:space="preserve">Bingkisan atau Parcel</t>
  </si>
  <si>
    <t xml:space="preserve">Sumbangan</t>
  </si>
  <si>
    <t xml:space="preserve">Beban Perizinan</t>
  </si>
  <si>
    <t xml:space="preserve">Beban Umum Lainnya</t>
  </si>
  <si>
    <t xml:space="preserve">Internal Charges</t>
  </si>
  <si>
    <t xml:space="preserve">IT Charges</t>
  </si>
  <si>
    <t xml:space="preserve">Digital Charge</t>
  </si>
  <si>
    <t xml:space="preserve">HR Charges</t>
  </si>
  <si>
    <t xml:space="preserve">Coaching &amp; Mentoring</t>
  </si>
  <si>
    <t xml:space="preserve">GA Charge</t>
  </si>
  <si>
    <t xml:space="preserve">Accounting Charge</t>
  </si>
  <si>
    <t xml:space="preserve">Penyusutan dan Amortisasi</t>
  </si>
  <si>
    <t xml:space="preserve">Penyusutan Bangunan</t>
  </si>
  <si>
    <t xml:space="preserve">Penyusutan Interior dan Renovasi</t>
  </si>
  <si>
    <t xml:space="preserve">Penyusutan Furniture</t>
  </si>
  <si>
    <t xml:space="preserve">Penyusutan Peralatan Kantor</t>
  </si>
  <si>
    <t xml:space="preserve">Penyusutan Kendaraan</t>
  </si>
  <si>
    <t xml:space="preserve">Amortisasi Aktiva Tak Berwujud</t>
  </si>
  <si>
    <t xml:space="preserve">TOTAL BIAYA UMUM dan ADMINISTRASI </t>
  </si>
  <si>
    <t xml:space="preserve">LABA / (RUGI) [A-B-C]</t>
  </si>
  <si>
    <t xml:space="preserve">D</t>
  </si>
  <si>
    <t xml:space="preserve">Pendapatan &amp; (Biaya) Non Operasional</t>
  </si>
  <si>
    <t xml:space="preserve">Pendapatan Non Operasional</t>
  </si>
  <si>
    <t xml:space="preserve">Pendapatan Bunga</t>
  </si>
  <si>
    <t xml:space="preserve">Pendapatan Deposit</t>
  </si>
  <si>
    <t xml:space="preserve">Keuntungan Selisih Kurs</t>
  </si>
  <si>
    <t xml:space="preserve">Pendapatan Lain</t>
  </si>
  <si>
    <t xml:space="preserve">Keuntungan Atas Penjualan Aktiva Tetap</t>
  </si>
  <si>
    <t xml:space="preserve">TOTAL PENDAPATAN Non - OPERASIONAL </t>
  </si>
  <si>
    <t xml:space="preserve">(Biaya ) Non Operasional </t>
  </si>
  <si>
    <t xml:space="preserve">Beban Bunga</t>
  </si>
  <si>
    <t xml:space="preserve">Beban Administrasi Bank</t>
  </si>
  <si>
    <t xml:space="preserve">Kerugian Selisih Kurs</t>
  </si>
  <si>
    <t xml:space="preserve">Kerugian Atas Penjualan Aktiva Tetap</t>
  </si>
  <si>
    <t xml:space="preserve">Beban Bunga Sewa Guna Usaha</t>
  </si>
  <si>
    <t xml:space="preserve">Beban Lain-lain</t>
  </si>
  <si>
    <t xml:space="preserve">TOTAL (Biaya) Non Operasional </t>
  </si>
  <si>
    <t xml:space="preserve">Total Pendapatan &amp; (Biaya) Non Operasional</t>
  </si>
  <si>
    <t xml:space="preserve">E</t>
  </si>
  <si>
    <t xml:space="preserve">Laba/Rugi sebelum pajak  [ A - B - C - D ]</t>
  </si>
  <si>
    <t xml:space="preserve">F</t>
  </si>
  <si>
    <t xml:space="preserve">PAJAK </t>
  </si>
  <si>
    <t xml:space="preserve">Pajak Penghasilan Badan</t>
  </si>
  <si>
    <t xml:space="preserve">Pajak Lainnya</t>
  </si>
  <si>
    <t xml:space="preserve">G</t>
  </si>
  <si>
    <t xml:space="preserve">Laba/Rugi sesudah pajak  [ E - F ]</t>
  </si>
  <si>
    <t xml:space="preserve">Pendapatan </t>
  </si>
  <si>
    <t xml:space="preserve">Biaya langsung gaji</t>
  </si>
  <si>
    <t xml:space="preserve">Biaya langsung non gaji</t>
  </si>
  <si>
    <t xml:space="preserve">Laba Kotor</t>
  </si>
  <si>
    <t xml:space="preserve">Biaya pegawai</t>
  </si>
  <si>
    <t xml:space="preserve">Biaya umum dan administrasi</t>
  </si>
  <si>
    <t xml:space="preserve">Laba Sebelum Pajak dan Bunga</t>
  </si>
  <si>
    <t xml:space="preserve">Pendapatan (Biaya) Lainnya</t>
  </si>
  <si>
    <t xml:space="preserve">Operating Profit</t>
  </si>
  <si>
    <t xml:space="preserve">Pajak</t>
  </si>
  <si>
    <t xml:space="preserve">Net Profit (Loss)</t>
  </si>
  <si>
    <t xml:space="preserve">Gross Margin</t>
  </si>
  <si>
    <t xml:space="preserve">Operating Margin</t>
  </si>
  <si>
    <t xml:space="preserve">Net Margin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</si>
</sst>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[$Rp-421]* #,##0.00_);_([$Rp-421]* \(#,##0.00\);_([$Rp-421]* \-??_);_(@_)"/>
    <numFmt numFmtId="166" formatCode="_(* #,##0_);_(* \(#,##0\);_(* \-_);_(@_)"/>
    <numFmt numFmtId="167" formatCode="m/d/yyyy"/>
    <numFmt numFmtId="168" formatCode="_(* #,##0.00_);_(* \(#,##0.00\);_(* \-??_);_(@_)"/>
    <numFmt numFmtId="169" formatCode="0%"/>
    <numFmt numFmtId="170" formatCode="0.00%"/>
    <numFmt numFmtId="171" formatCode="#,##0.00_);\(#,##0.00\)"/>
    <numFmt numFmtId="172" formatCode="_(* #,##0_);_(* \(#,##0\);_(* \-??_);_(@_)"/>
    <numFmt numFmtId="173" formatCode="_-* #,##0.00_-;\-* #,##0.00_-;_-* \-??_-;_-@_-"/>
  </numFmts>
  <fonts count="14">
    <font>
      <sz val="8"/>
      <color theme="1"/>
      <name val="Tahom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 Narrow"/>
      <family val="2"/>
      <charset val="1"/>
    </font>
    <font>
      <b val="true"/>
      <sz val="8"/>
      <name val="Arial Narrow"/>
      <family val="2"/>
      <charset val="1"/>
    </font>
    <font>
      <b val="true"/>
      <sz val="14"/>
      <name val="Arial Narrow"/>
      <family val="2"/>
      <charset val="1"/>
    </font>
    <font>
      <b val="true"/>
      <sz val="16"/>
      <name val="Arial Narrow"/>
      <family val="2"/>
      <charset val="1"/>
    </font>
    <font>
      <b val="true"/>
      <sz val="12"/>
      <color theme="0"/>
      <name val="Arial Narrow"/>
      <family val="2"/>
      <charset val="1"/>
    </font>
    <font>
      <b val="true"/>
      <sz val="11"/>
      <color theme="0"/>
      <name val="Arial Narrow"/>
      <family val="2"/>
      <charset val="1"/>
    </font>
    <font>
      <b val="true"/>
      <sz val="14"/>
      <color theme="0"/>
      <name val="Arial Narrow"/>
      <family val="2"/>
      <charset val="1"/>
    </font>
    <font>
      <b val="true"/>
      <sz val="10"/>
      <color theme="0"/>
      <name val="Arial Narrow"/>
      <family val="2"/>
      <charset val="1"/>
    </font>
    <font>
      <b val="true"/>
      <u val="single"/>
      <sz val="8"/>
      <name val="Arial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-0.25"/>
        <bgColor rgb="FFFF9900"/>
      </patternFill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dashed">
        <color rgb="FF808080"/>
      </bottom>
      <diagonal/>
    </border>
    <border diagonalUp="false" diagonalDown="false">
      <left style="medium">
        <color theme="0" tint="-0.5"/>
      </left>
      <right style="thin">
        <color theme="0" tint="-0.5"/>
      </right>
      <top/>
      <bottom style="dashed">
        <color theme="0" tint="-0.5"/>
      </bottom>
      <diagonal/>
    </border>
    <border diagonalUp="false" diagonalDown="false">
      <left style="medium">
        <color rgb="FF808080"/>
      </left>
      <right style="thin">
        <color rgb="FF808080"/>
      </right>
      <top style="dashed">
        <color rgb="FF808080"/>
      </top>
      <bottom style="dashed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dashed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808080"/>
      </left>
      <right style="thin">
        <color rgb="FF808080"/>
      </right>
      <top style="dashed">
        <color rgb="FF808080"/>
      </top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 style="medium">
        <color theme="0" tint="-0.5"/>
      </left>
      <right style="thin">
        <color theme="0" tint="-0.5"/>
      </right>
      <top style="medium">
        <color theme="0" tint="-0.5"/>
      </top>
      <bottom style="dashed">
        <color theme="0" tint="-0.5"/>
      </bottom>
      <diagonal/>
    </border>
    <border diagonalUp="false" diagonalDown="false">
      <left style="medium">
        <color theme="0" tint="-0.5"/>
      </left>
      <right style="thin">
        <color theme="0" tint="-0.5"/>
      </right>
      <top style="dashed">
        <color theme="0" tint="-0.5"/>
      </top>
      <bottom style="medium">
        <color theme="0" tint="-0.5"/>
      </bottom>
      <diagonal/>
    </border>
    <border diagonalUp="false" diagonalDown="false">
      <left style="medium">
        <color rgb="FF808080"/>
      </left>
      <right style="dashed">
        <color theme="0" tint="-0.15"/>
      </right>
      <top style="dashed">
        <color theme="0" tint="-0.15"/>
      </top>
      <bottom style="dashed">
        <color theme="0" tint="-0.15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>
        <color theme="0" tint="-0.5"/>
      </left>
      <right style="thin">
        <color theme="0" tint="-0.5"/>
      </right>
      <top style="medium">
        <color theme="0" tint="-0.5"/>
      </top>
      <bottom style="medium">
        <color theme="0" tint="-0.5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dashed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dashed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/>
      <bottom style="medium">
        <color rgb="FF80808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2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2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2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5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5" fillId="2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2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5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6" fillId="2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2" xfId="2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8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6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6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2" borderId="1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6" fillId="2" borderId="1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5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5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7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5" fillId="2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2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5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2" borderId="1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5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5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2" borderId="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3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2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8" fontId="6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Normal_ratio_index" xfId="21"/>
    <cellStyle name="Excel Built-in Comma [0]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Z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180" activePane="bottomRight" state="frozen"/>
      <selection pane="topLeft" activeCell="A1" activeCellId="0" sqref="A1"/>
      <selection pane="topRight" activeCell="D1" activeCellId="0" sqref="D1"/>
      <selection pane="bottomLeft" activeCell="A180" activeCellId="0" sqref="A180"/>
      <selection pane="bottomRight" activeCell="H188" activeCellId="1" sqref="191:191 H188"/>
    </sheetView>
  </sheetViews>
  <sheetFormatPr defaultColWidth="9.33203125" defaultRowHeight="12.75" zeroHeight="false" outlineLevelRow="2" outlineLevelCol="0"/>
  <cols>
    <col collapsed="false" customWidth="true" hidden="false" outlineLevel="0" max="1" min="1" style="1" width="1.51"/>
    <col collapsed="false" customWidth="true" hidden="false" outlineLevel="0" max="2" min="2" style="2" width="2.5"/>
    <col collapsed="false" customWidth="true" hidden="false" outlineLevel="0" max="3" min="3" style="1" width="36.33"/>
    <col collapsed="false" customWidth="true" hidden="false" outlineLevel="0" max="4" min="4" style="3" width="2.83"/>
    <col collapsed="false" customWidth="true" hidden="false" outlineLevel="0" max="5" min="5" style="1" width="15.66"/>
    <col collapsed="false" customWidth="true" hidden="false" outlineLevel="0" max="7" min="6" style="1" width="17.16"/>
    <col collapsed="false" customWidth="true" hidden="false" outlineLevel="0" max="8" min="8" style="1" width="16.83"/>
    <col collapsed="false" customWidth="true" hidden="false" outlineLevel="0" max="10" min="9" style="1" width="17.16"/>
    <col collapsed="false" customWidth="true" hidden="false" outlineLevel="0" max="11" min="11" style="1" width="16.83"/>
    <col collapsed="false" customWidth="true" hidden="false" outlineLevel="0" max="16" min="12" style="1" width="15.66"/>
    <col collapsed="false" customWidth="true" hidden="false" outlineLevel="0" max="18" min="17" style="1" width="3.16"/>
    <col collapsed="false" customWidth="true" hidden="false" outlineLevel="0" max="19" min="19" style="1" width="19"/>
    <col collapsed="false" customWidth="true" hidden="true" outlineLevel="0" max="20" min="20" style="1" width="17.66"/>
    <col collapsed="false" customWidth="true" hidden="true" outlineLevel="0" max="21" min="21" style="1" width="17"/>
    <col collapsed="false" customWidth="true" hidden="true" outlineLevel="0" max="22" min="22" style="1" width="19"/>
    <col collapsed="false" customWidth="true" hidden="true" outlineLevel="0" max="23" min="23" style="1" width="21.66"/>
    <col collapsed="false" customWidth="true" hidden="false" outlineLevel="0" max="24" min="24" style="1" width="9.66"/>
    <col collapsed="false" customWidth="true" hidden="false" outlineLevel="0" max="25" min="25" style="1" width="10.83"/>
    <col collapsed="false" customWidth="true" hidden="false" outlineLevel="0" max="26" min="26" style="1" width="10"/>
    <col collapsed="false" customWidth="true" hidden="false" outlineLevel="0" max="28" min="27" style="1" width="10.33"/>
    <col collapsed="false" customWidth="true" hidden="false" outlineLevel="0" max="29" min="29" style="1" width="10.83"/>
    <col collapsed="false" customWidth="true" hidden="false" outlineLevel="0" max="30" min="30" style="1" width="9.51"/>
    <col collapsed="false" customWidth="false" hidden="false" outlineLevel="0" max="16384" min="31" style="1" width="9.33"/>
  </cols>
  <sheetData>
    <row r="1" customFormat="false" ht="12.75" hidden="false" customHeight="false" outlineLevel="0" collapsed="false">
      <c r="E1" s="4"/>
      <c r="F1" s="5"/>
    </row>
    <row r="2" s="6" customFormat="true" ht="12.75" hidden="false" customHeight="false" outlineLevel="0" collapsed="false">
      <c r="B2" s="7"/>
      <c r="C2" s="8"/>
      <c r="D2" s="9"/>
      <c r="E2" s="10"/>
      <c r="F2" s="10"/>
      <c r="G2" s="10"/>
      <c r="H2" s="10"/>
      <c r="I2" s="10"/>
      <c r="J2" s="10"/>
      <c r="K2" s="10"/>
      <c r="L2" s="10"/>
      <c r="M2" s="11"/>
      <c r="N2" s="11"/>
      <c r="O2" s="11"/>
      <c r="P2" s="11"/>
      <c r="Q2" s="11"/>
    </row>
    <row r="3" s="6" customFormat="true" ht="23.25" hidden="false" customHeight="true" outlineLevel="0" collapsed="false">
      <c r="B3" s="7"/>
      <c r="C3" s="12"/>
      <c r="D3" s="11"/>
      <c r="E3" s="13" t="s">
        <v>0</v>
      </c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</row>
    <row r="4" s="6" customFormat="true" ht="16.5" hidden="false" customHeight="true" outlineLevel="0" collapsed="false">
      <c r="B4" s="7"/>
      <c r="C4" s="12"/>
      <c r="D4" s="11"/>
      <c r="E4" s="15" t="s">
        <v>1</v>
      </c>
      <c r="F4" s="15" t="s">
        <v>2</v>
      </c>
      <c r="G4" s="15" t="s">
        <v>2</v>
      </c>
      <c r="H4" s="15" t="s">
        <v>2</v>
      </c>
      <c r="I4" s="15" t="s">
        <v>2</v>
      </c>
      <c r="J4" s="15" t="s">
        <v>2</v>
      </c>
      <c r="K4" s="15" t="s">
        <v>2</v>
      </c>
      <c r="L4" s="15" t="s">
        <v>2</v>
      </c>
      <c r="M4" s="16"/>
      <c r="N4" s="16"/>
      <c r="O4" s="16"/>
      <c r="P4" s="16"/>
      <c r="Q4" s="16"/>
    </row>
    <row r="5" s="6" customFormat="true" ht="18" hidden="false" customHeight="true" outlineLevel="0" collapsed="false">
      <c r="B5" s="7"/>
      <c r="C5" s="11"/>
      <c r="D5" s="11"/>
      <c r="E5" s="17" t="n">
        <v>2026</v>
      </c>
      <c r="F5" s="17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</row>
    <row r="6" s="18" customFormat="true" ht="12.75" hidden="false" customHeight="false" outlineLevel="0" collapsed="false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="18" customFormat="true" ht="9.75" hidden="false" customHeight="true" outlineLevel="0" collapsed="false"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customFormat="false" ht="20.25" hidden="false" customHeight="true" outlineLevel="0" collapsed="false">
      <c r="B8" s="7"/>
      <c r="C8" s="21" t="s">
        <v>3</v>
      </c>
      <c r="D8" s="22"/>
      <c r="E8" s="23" t="s">
        <v>4</v>
      </c>
      <c r="F8" s="23" t="s">
        <v>5</v>
      </c>
      <c r="G8" s="23" t="s">
        <v>6</v>
      </c>
      <c r="H8" s="23" t="s">
        <v>7</v>
      </c>
      <c r="I8" s="23" t="s">
        <v>8</v>
      </c>
      <c r="J8" s="23" t="s">
        <v>9</v>
      </c>
      <c r="K8" s="23" t="s">
        <v>10</v>
      </c>
      <c r="L8" s="23" t="s">
        <v>11</v>
      </c>
      <c r="M8" s="23" t="s">
        <v>12</v>
      </c>
      <c r="N8" s="23" t="s">
        <v>13</v>
      </c>
      <c r="O8" s="23" t="s">
        <v>14</v>
      </c>
      <c r="P8" s="23" t="s">
        <v>15</v>
      </c>
      <c r="Q8" s="23"/>
      <c r="R8" s="24"/>
      <c r="S8" s="25" t="s">
        <v>16</v>
      </c>
      <c r="T8" s="24"/>
      <c r="U8" s="24"/>
      <c r="V8" s="24"/>
      <c r="W8" s="24"/>
      <c r="X8" s="26"/>
      <c r="Y8" s="26"/>
      <c r="Z8" s="26"/>
      <c r="AA8" s="26"/>
      <c r="AB8" s="26"/>
      <c r="AC8" s="26"/>
    </row>
    <row r="9" customFormat="false" ht="3" hidden="false" customHeight="true" outlineLevel="0" collapsed="false">
      <c r="C9" s="9"/>
      <c r="D9" s="20"/>
    </row>
    <row r="10" s="6" customFormat="true" ht="18" hidden="false" customHeight="true" outlineLevel="0" collapsed="false">
      <c r="B10" s="11" t="s">
        <v>17</v>
      </c>
      <c r="C10" s="27" t="s">
        <v>18</v>
      </c>
      <c r="D10" s="20"/>
      <c r="S10" s="28"/>
      <c r="T10" s="28" t="n">
        <v>0</v>
      </c>
    </row>
    <row r="11" s="6" customFormat="true" ht="18" hidden="false" customHeight="true" outlineLevel="1" collapsed="false">
      <c r="B11" s="11"/>
      <c r="C11" s="29" t="s">
        <v>19</v>
      </c>
      <c r="D11" s="20"/>
      <c r="E11" s="30" t="n">
        <v>0</v>
      </c>
      <c r="F11" s="30" t="n">
        <v>0</v>
      </c>
      <c r="G11" s="30" t="n">
        <v>0</v>
      </c>
      <c r="H11" s="30" t="n">
        <v>0</v>
      </c>
      <c r="I11" s="30" t="n">
        <v>0</v>
      </c>
      <c r="J11" s="30" t="n">
        <v>0</v>
      </c>
      <c r="K11" s="30" t="n">
        <v>0</v>
      </c>
      <c r="L11" s="30" t="n">
        <v>0</v>
      </c>
      <c r="M11" s="30" t="n">
        <v>0</v>
      </c>
      <c r="N11" s="30" t="n">
        <v>0</v>
      </c>
      <c r="O11" s="30" t="n">
        <v>0</v>
      </c>
      <c r="P11" s="30" t="n">
        <v>0</v>
      </c>
      <c r="Q11" s="31"/>
      <c r="S11" s="32" t="n">
        <f aca="false">SUM(E11:P11)</f>
        <v>0</v>
      </c>
      <c r="T11" s="33"/>
      <c r="V11" s="34"/>
      <c r="W11" s="34"/>
      <c r="X11" s="34"/>
      <c r="Y11" s="34"/>
      <c r="Z11" s="34"/>
      <c r="AA11" s="34"/>
      <c r="AB11" s="34"/>
      <c r="AC11" s="34"/>
    </row>
    <row r="12" s="6" customFormat="true" ht="18" hidden="false" customHeight="true" outlineLevel="1" collapsed="false">
      <c r="B12" s="11"/>
      <c r="C12" s="35" t="s">
        <v>20</v>
      </c>
      <c r="D12" s="20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7"/>
      <c r="S12" s="32" t="n">
        <f aca="false">SUM(E12:P12)</f>
        <v>0</v>
      </c>
      <c r="T12" s="38"/>
      <c r="V12" s="34"/>
      <c r="W12" s="34"/>
      <c r="X12" s="34"/>
      <c r="Y12" s="34"/>
      <c r="Z12" s="34"/>
      <c r="AA12" s="34"/>
      <c r="AB12" s="34"/>
      <c r="AC12" s="34"/>
      <c r="AD12" s="34"/>
    </row>
    <row r="13" s="6" customFormat="true" ht="18" hidden="false" customHeight="true" outlineLevel="1" collapsed="false">
      <c r="B13" s="11"/>
      <c r="C13" s="35" t="s">
        <v>21</v>
      </c>
      <c r="D13" s="20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7"/>
      <c r="S13" s="32" t="n">
        <f aca="false">SUM(E13:P13)</f>
        <v>0</v>
      </c>
      <c r="T13" s="38"/>
      <c r="V13" s="39"/>
      <c r="W13" s="39"/>
      <c r="X13" s="39"/>
      <c r="Y13" s="39"/>
      <c r="Z13" s="39"/>
      <c r="AA13" s="39"/>
      <c r="AB13" s="39"/>
      <c r="AC13" s="39"/>
    </row>
    <row r="14" s="6" customFormat="true" ht="18" hidden="false" customHeight="true" outlineLevel="1" collapsed="false">
      <c r="B14" s="11"/>
      <c r="C14" s="35" t="s">
        <v>20</v>
      </c>
      <c r="D14" s="20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S14" s="32" t="n">
        <f aca="false">SUM(E14:P14)</f>
        <v>0</v>
      </c>
      <c r="T14" s="38"/>
      <c r="V14" s="39"/>
      <c r="W14" s="39"/>
      <c r="X14" s="39"/>
      <c r="Y14" s="39"/>
      <c r="Z14" s="39"/>
      <c r="AA14" s="39"/>
      <c r="AB14" s="39"/>
      <c r="AC14" s="39"/>
    </row>
    <row r="15" s="6" customFormat="true" ht="18" hidden="false" customHeight="true" outlineLevel="1" collapsed="false">
      <c r="B15" s="11"/>
      <c r="C15" s="35" t="s">
        <v>22</v>
      </c>
      <c r="D15" s="20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S15" s="32" t="n">
        <f aca="false">SUM(E15:P15)</f>
        <v>0</v>
      </c>
      <c r="T15" s="38"/>
      <c r="V15" s="39"/>
      <c r="W15" s="39"/>
      <c r="X15" s="39"/>
      <c r="Y15" s="39"/>
      <c r="Z15" s="39"/>
      <c r="AA15" s="39"/>
      <c r="AB15" s="39"/>
      <c r="AC15" s="39"/>
    </row>
    <row r="16" s="6" customFormat="true" ht="18" hidden="false" customHeight="true" outlineLevel="1" collapsed="false">
      <c r="B16" s="11"/>
      <c r="C16" s="35" t="s">
        <v>23</v>
      </c>
      <c r="D16" s="20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S16" s="32" t="n">
        <f aca="false">SUM(E16:P16)</f>
        <v>0</v>
      </c>
      <c r="T16" s="38"/>
      <c r="V16" s="39"/>
      <c r="W16" s="39"/>
      <c r="X16" s="39"/>
      <c r="Y16" s="39"/>
      <c r="Z16" s="39"/>
      <c r="AA16" s="39"/>
      <c r="AB16" s="39"/>
      <c r="AC16" s="39"/>
    </row>
    <row r="17" s="6" customFormat="true" ht="18" hidden="false" customHeight="true" outlineLevel="1" collapsed="false">
      <c r="B17" s="11"/>
      <c r="C17" s="35" t="s">
        <v>24</v>
      </c>
      <c r="D17" s="20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S17" s="32" t="n">
        <f aca="false">SUM(E17:P17)</f>
        <v>0</v>
      </c>
      <c r="T17" s="38"/>
      <c r="V17" s="39"/>
      <c r="W17" s="39"/>
      <c r="X17" s="39"/>
      <c r="Y17" s="39"/>
      <c r="Z17" s="39"/>
      <c r="AA17" s="39"/>
      <c r="AB17" s="39"/>
      <c r="AC17" s="39"/>
    </row>
    <row r="18" s="6" customFormat="true" ht="18" hidden="false" customHeight="true" outlineLevel="1" collapsed="false">
      <c r="B18" s="11"/>
      <c r="C18" s="35" t="s">
        <v>25</v>
      </c>
      <c r="D18" s="20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7"/>
      <c r="S18" s="32" t="n">
        <f aca="false">SUM(E18:P18)</f>
        <v>0</v>
      </c>
      <c r="T18" s="38"/>
      <c r="V18" s="40"/>
      <c r="W18" s="40"/>
      <c r="X18" s="40"/>
      <c r="Y18" s="40"/>
      <c r="Z18" s="40"/>
      <c r="AA18" s="40"/>
      <c r="AB18" s="40"/>
      <c r="AC18" s="40"/>
    </row>
    <row r="19" s="6" customFormat="true" ht="18" hidden="false" customHeight="true" outlineLevel="1" collapsed="false">
      <c r="B19" s="11"/>
      <c r="C19" s="35" t="s">
        <v>26</v>
      </c>
      <c r="D19" s="20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S19" s="32" t="n">
        <f aca="false">SUM(E19:P19)</f>
        <v>0</v>
      </c>
      <c r="T19" s="38"/>
      <c r="V19" s="34"/>
      <c r="W19" s="34"/>
      <c r="X19" s="34"/>
      <c r="Y19" s="34"/>
      <c r="Z19" s="34"/>
      <c r="AA19" s="34"/>
      <c r="AB19" s="34"/>
      <c r="AC19" s="34"/>
      <c r="AD19" s="34"/>
    </row>
    <row r="20" s="6" customFormat="true" ht="18" hidden="false" customHeight="true" outlineLevel="1" collapsed="false">
      <c r="B20" s="11"/>
      <c r="C20" s="41" t="s">
        <v>27</v>
      </c>
      <c r="D20" s="20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S20" s="32" t="n">
        <f aca="false">SUM(E20:P20)</f>
        <v>0</v>
      </c>
      <c r="T20" s="38"/>
      <c r="V20" s="39"/>
      <c r="W20" s="39"/>
      <c r="X20" s="39"/>
      <c r="Y20" s="39"/>
      <c r="Z20" s="39"/>
      <c r="AA20" s="39"/>
      <c r="AB20" s="39"/>
      <c r="AC20" s="39"/>
    </row>
    <row r="21" s="6" customFormat="true" ht="12.75" hidden="false" customHeight="true" outlineLevel="1" collapsed="false">
      <c r="B21" s="11"/>
      <c r="C21" s="44"/>
      <c r="D21" s="20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S21" s="32" t="n">
        <f aca="false">SUM(E21:P21)</f>
        <v>0</v>
      </c>
      <c r="T21" s="28"/>
      <c r="V21" s="39"/>
      <c r="W21" s="39"/>
      <c r="X21" s="39"/>
      <c r="Y21" s="39"/>
      <c r="Z21" s="39"/>
      <c r="AA21" s="39"/>
      <c r="AB21" s="39"/>
      <c r="AC21" s="39"/>
    </row>
    <row r="22" s="6" customFormat="true" ht="18" hidden="false" customHeight="true" outlineLevel="0" collapsed="false">
      <c r="B22" s="11"/>
      <c r="C22" s="45" t="s">
        <v>28</v>
      </c>
      <c r="D22" s="20"/>
      <c r="E22" s="46" t="n">
        <f aca="false">SUM(E11:E20)</f>
        <v>0</v>
      </c>
      <c r="F22" s="46" t="n">
        <f aca="false">SUM(F11:F20)</f>
        <v>0</v>
      </c>
      <c r="G22" s="46" t="n">
        <f aca="false">SUM(G11:G20)</f>
        <v>0</v>
      </c>
      <c r="H22" s="46" t="n">
        <f aca="false">SUM(H11:H20)</f>
        <v>0</v>
      </c>
      <c r="I22" s="46" t="n">
        <f aca="false">SUM(I11:I20)</f>
        <v>0</v>
      </c>
      <c r="J22" s="46" t="n">
        <f aca="false">SUM(J11:J20)</f>
        <v>0</v>
      </c>
      <c r="K22" s="46" t="n">
        <f aca="false">SUM(K11:K20)</f>
        <v>0</v>
      </c>
      <c r="L22" s="46" t="n">
        <f aca="false">SUM(L11:L20)</f>
        <v>0</v>
      </c>
      <c r="M22" s="46" t="n">
        <f aca="false">SUM(M11:M20)</f>
        <v>0</v>
      </c>
      <c r="N22" s="46" t="n">
        <f aca="false">SUM(N11:N20)</f>
        <v>0</v>
      </c>
      <c r="O22" s="46" t="n">
        <f aca="false">SUM(O11:O20)</f>
        <v>0</v>
      </c>
      <c r="P22" s="46" t="n">
        <f aca="false">SUM(P11:P20)</f>
        <v>0</v>
      </c>
      <c r="Q22" s="46"/>
      <c r="R22" s="28"/>
      <c r="S22" s="32" t="n">
        <f aca="false">SUM(E22:P22)</f>
        <v>0</v>
      </c>
      <c r="T22" s="46" t="n">
        <f aca="false">IFERROR(VLOOKUP(E4,target,2,FALSE()),0)</f>
        <v>0</v>
      </c>
      <c r="U22" s="46" t="n">
        <f aca="false">S22/8</f>
        <v>0</v>
      </c>
      <c r="V22" s="46" t="n">
        <f aca="false">T22-S22</f>
        <v>0</v>
      </c>
      <c r="W22" s="46"/>
      <c r="X22" s="34"/>
      <c r="Y22" s="34"/>
      <c r="Z22" s="34"/>
      <c r="AA22" s="34"/>
      <c r="AB22" s="34"/>
      <c r="AC22" s="34"/>
      <c r="AD22" s="34"/>
    </row>
    <row r="23" s="6" customFormat="true" ht="18" hidden="false" customHeight="true" outlineLevel="0" collapsed="false">
      <c r="B23" s="11"/>
      <c r="C23" s="45"/>
      <c r="D23" s="20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32" t="n">
        <f aca="false">SUM(E23:P23)</f>
        <v>0</v>
      </c>
      <c r="T23" s="28"/>
      <c r="U23" s="28"/>
      <c r="V23" s="28"/>
      <c r="W23" s="28"/>
      <c r="X23" s="34"/>
      <c r="Y23" s="34"/>
      <c r="Z23" s="34"/>
      <c r="AA23" s="34"/>
      <c r="AB23" s="34"/>
      <c r="AC23" s="34"/>
      <c r="AD23" s="34"/>
    </row>
    <row r="24" s="6" customFormat="true" ht="18" hidden="false" customHeight="true" outlineLevel="0" collapsed="false">
      <c r="B24" s="11"/>
      <c r="C24" s="45"/>
      <c r="D24" s="20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32" t="n">
        <f aca="false">SUM(E24:P24)</f>
        <v>0</v>
      </c>
      <c r="T24" s="28"/>
      <c r="U24" s="28"/>
      <c r="V24" s="28"/>
      <c r="W24" s="28"/>
      <c r="X24" s="34"/>
      <c r="Y24" s="34"/>
      <c r="Z24" s="34"/>
      <c r="AA24" s="34"/>
      <c r="AB24" s="34"/>
      <c r="AC24" s="34"/>
      <c r="AD24" s="34"/>
    </row>
    <row r="25" s="6" customFormat="true" ht="18" hidden="false" customHeight="true" outlineLevel="0" collapsed="false">
      <c r="B25" s="11" t="s">
        <v>29</v>
      </c>
      <c r="C25" s="47" t="s">
        <v>30</v>
      </c>
      <c r="D25" s="20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S25" s="32" t="n">
        <f aca="false">SUM(E25:P25)</f>
        <v>0</v>
      </c>
      <c r="T25" s="48"/>
      <c r="V25" s="34"/>
      <c r="W25" s="34"/>
      <c r="X25" s="34"/>
      <c r="Y25" s="34"/>
      <c r="Z25" s="34"/>
      <c r="AA25" s="34"/>
      <c r="AB25" s="34"/>
      <c r="AC25" s="34"/>
      <c r="AD25" s="34"/>
    </row>
    <row r="26" s="49" customFormat="true" ht="18" hidden="false" customHeight="true" outlineLevel="0" collapsed="false">
      <c r="B26" s="50" t="n">
        <v>1</v>
      </c>
      <c r="C26" s="51" t="s">
        <v>31</v>
      </c>
      <c r="D26" s="20"/>
      <c r="E26" s="32" t="n">
        <f aca="false">SUM(E27:E31)</f>
        <v>0</v>
      </c>
      <c r="F26" s="32" t="n">
        <f aca="false">SUM(F27:F31)</f>
        <v>0</v>
      </c>
      <c r="G26" s="32" t="n">
        <f aca="false">SUM(G27:G31)</f>
        <v>0</v>
      </c>
      <c r="H26" s="32" t="n">
        <f aca="false">SUM(H27:H31)</f>
        <v>0</v>
      </c>
      <c r="I26" s="32" t="n">
        <f aca="false">SUM(I27:I31)</f>
        <v>0</v>
      </c>
      <c r="J26" s="32" t="n">
        <f aca="false">SUM(J27:J31)</f>
        <v>0</v>
      </c>
      <c r="K26" s="32" t="n">
        <f aca="false">SUM(K27:K31)</f>
        <v>0</v>
      </c>
      <c r="L26" s="32" t="n">
        <f aca="false">SUM(L27:L31)</f>
        <v>0</v>
      </c>
      <c r="M26" s="32" t="n">
        <f aca="false">SUM(M27:M31)</f>
        <v>0</v>
      </c>
      <c r="N26" s="32" t="n">
        <f aca="false">SUM(N27:N31)</f>
        <v>0</v>
      </c>
      <c r="O26" s="32" t="n">
        <f aca="false">SUM(O27:O31)</f>
        <v>0</v>
      </c>
      <c r="P26" s="32" t="n">
        <f aca="false">SUM(P27:P31)</f>
        <v>0</v>
      </c>
      <c r="Q26" s="32"/>
      <c r="S26" s="32" t="n">
        <f aca="false">SUM(E26:P26)</f>
        <v>0</v>
      </c>
      <c r="T26" s="28"/>
      <c r="V26" s="52"/>
      <c r="W26" s="52"/>
      <c r="X26" s="52"/>
      <c r="Y26" s="52"/>
      <c r="Z26" s="52"/>
      <c r="AA26" s="52"/>
      <c r="AB26" s="52"/>
      <c r="AC26" s="52"/>
    </row>
    <row r="27" s="6" customFormat="true" ht="18" hidden="false" customHeight="true" outlineLevel="1" collapsed="false">
      <c r="B27" s="11"/>
      <c r="C27" s="35" t="s">
        <v>32</v>
      </c>
      <c r="D27" s="20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7"/>
      <c r="S27" s="32" t="n">
        <f aca="false">SUM(E27:P27)</f>
        <v>0</v>
      </c>
      <c r="T27" s="28"/>
      <c r="V27" s="40"/>
      <c r="W27" s="40"/>
      <c r="X27" s="40"/>
      <c r="Y27" s="40"/>
      <c r="Z27" s="40"/>
      <c r="AA27" s="40"/>
      <c r="AB27" s="40"/>
      <c r="AC27" s="40"/>
    </row>
    <row r="28" s="6" customFormat="true" ht="18" hidden="false" customHeight="true" outlineLevel="1" collapsed="false">
      <c r="B28" s="11"/>
      <c r="C28" s="35" t="s">
        <v>33</v>
      </c>
      <c r="D28" s="20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  <c r="S28" s="32" t="n">
        <f aca="false">SUM(E28:P28)</f>
        <v>0</v>
      </c>
      <c r="T28" s="28"/>
      <c r="V28" s="40"/>
      <c r="W28" s="40"/>
      <c r="X28" s="40"/>
      <c r="Y28" s="40"/>
      <c r="Z28" s="40"/>
      <c r="AA28" s="40"/>
      <c r="AB28" s="40"/>
      <c r="AC28" s="40"/>
    </row>
    <row r="29" s="6" customFormat="true" ht="18" hidden="false" customHeight="true" outlineLevel="1" collapsed="false">
      <c r="B29" s="11"/>
      <c r="C29" s="35" t="s">
        <v>34</v>
      </c>
      <c r="D29" s="20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7"/>
      <c r="S29" s="32" t="n">
        <f aca="false">SUM(E29:P29)</f>
        <v>0</v>
      </c>
      <c r="T29" s="28"/>
      <c r="V29" s="40"/>
      <c r="W29" s="40"/>
      <c r="X29" s="40"/>
      <c r="Y29" s="40"/>
      <c r="Z29" s="40"/>
      <c r="AA29" s="40"/>
      <c r="AB29" s="40"/>
      <c r="AC29" s="40"/>
    </row>
    <row r="30" s="6" customFormat="true" ht="18" hidden="false" customHeight="true" outlineLevel="1" collapsed="false">
      <c r="B30" s="11"/>
      <c r="C30" s="35" t="s">
        <v>35</v>
      </c>
      <c r="D30" s="20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7"/>
      <c r="S30" s="32" t="n">
        <f aca="false">SUM(E30:P30)</f>
        <v>0</v>
      </c>
      <c r="T30" s="28" t="s">
        <v>36</v>
      </c>
      <c r="V30" s="40"/>
      <c r="W30" s="40"/>
      <c r="X30" s="40"/>
      <c r="Y30" s="40"/>
      <c r="Z30" s="40"/>
      <c r="AA30" s="40"/>
      <c r="AB30" s="40"/>
      <c r="AC30" s="40"/>
    </row>
    <row r="31" s="6" customFormat="true" ht="18" hidden="false" customHeight="true" outlineLevel="1" collapsed="false">
      <c r="B31" s="11"/>
      <c r="C31" s="53" t="s">
        <v>37</v>
      </c>
      <c r="D31" s="20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S31" s="32" t="n">
        <f aca="false">SUM(E31:P31)</f>
        <v>0</v>
      </c>
      <c r="T31" s="28"/>
      <c r="V31" s="40"/>
      <c r="W31" s="40"/>
      <c r="X31" s="40"/>
      <c r="Y31" s="40"/>
      <c r="Z31" s="40"/>
      <c r="AA31" s="40"/>
      <c r="AB31" s="40"/>
      <c r="AC31" s="40"/>
    </row>
    <row r="32" s="6" customFormat="true" ht="18" hidden="false" customHeight="true" outlineLevel="1" collapsed="false">
      <c r="B32" s="11"/>
      <c r="C32" s="35"/>
      <c r="D32" s="54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S32" s="32" t="n">
        <f aca="false">SUM(E32:P32)</f>
        <v>0</v>
      </c>
      <c r="T32" s="28"/>
      <c r="V32" s="40"/>
      <c r="W32" s="40"/>
      <c r="X32" s="40"/>
      <c r="Y32" s="40"/>
      <c r="Z32" s="40"/>
      <c r="AA32" s="40"/>
      <c r="AB32" s="40"/>
      <c r="AC32" s="40"/>
    </row>
    <row r="33" s="49" customFormat="true" ht="18" hidden="false" customHeight="true" outlineLevel="0" collapsed="false">
      <c r="B33" s="11" t="n">
        <v>2</v>
      </c>
      <c r="C33" s="51" t="s">
        <v>38</v>
      </c>
      <c r="D33" s="20"/>
      <c r="E33" s="32" t="n">
        <f aca="false">E34</f>
        <v>0</v>
      </c>
      <c r="F33" s="32" t="n">
        <f aca="false">F34</f>
        <v>0</v>
      </c>
      <c r="G33" s="32" t="n">
        <f aca="false">G34</f>
        <v>0</v>
      </c>
      <c r="H33" s="32" t="n">
        <f aca="false">H34</f>
        <v>0</v>
      </c>
      <c r="I33" s="32" t="n">
        <f aca="false">I34</f>
        <v>0</v>
      </c>
      <c r="J33" s="32" t="n">
        <f aca="false">J34</f>
        <v>0</v>
      </c>
      <c r="K33" s="32" t="n">
        <f aca="false">K34</f>
        <v>0</v>
      </c>
      <c r="L33" s="32" t="n">
        <f aca="false">L34</f>
        <v>0</v>
      </c>
      <c r="M33" s="32" t="n">
        <f aca="false">M34</f>
        <v>0</v>
      </c>
      <c r="N33" s="32" t="n">
        <f aca="false">N34</f>
        <v>0</v>
      </c>
      <c r="O33" s="32" t="n">
        <f aca="false">O34</f>
        <v>0</v>
      </c>
      <c r="P33" s="32" t="n">
        <f aca="false">P34</f>
        <v>0</v>
      </c>
      <c r="Q33" s="32"/>
      <c r="S33" s="32" t="n">
        <f aca="false">SUM(E33:P33)</f>
        <v>0</v>
      </c>
      <c r="T33" s="28"/>
      <c r="V33" s="52"/>
      <c r="W33" s="52"/>
      <c r="X33" s="52"/>
      <c r="Y33" s="52"/>
      <c r="Z33" s="52"/>
      <c r="AA33" s="52"/>
      <c r="AB33" s="52"/>
      <c r="AC33" s="52"/>
    </row>
    <row r="34" s="6" customFormat="true" ht="18" hidden="false" customHeight="true" outlineLevel="1" collapsed="false">
      <c r="B34" s="11"/>
      <c r="C34" s="35" t="s">
        <v>39</v>
      </c>
      <c r="D34" s="20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7"/>
      <c r="S34" s="32" t="n">
        <f aca="false">SUM(E34:P34)</f>
        <v>0</v>
      </c>
      <c r="T34" s="28"/>
      <c r="V34" s="40"/>
      <c r="W34" s="40"/>
      <c r="X34" s="40"/>
      <c r="Y34" s="40"/>
      <c r="Z34" s="40"/>
      <c r="AA34" s="40"/>
      <c r="AB34" s="40"/>
      <c r="AC34" s="40"/>
    </row>
    <row r="35" s="6" customFormat="true" ht="18" hidden="false" customHeight="true" outlineLevel="1" collapsed="false">
      <c r="B35" s="11"/>
      <c r="C35" s="35"/>
      <c r="D35" s="54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S35" s="32" t="n">
        <f aca="false">SUM(E35:P35)</f>
        <v>0</v>
      </c>
      <c r="T35" s="28"/>
      <c r="V35" s="40"/>
      <c r="W35" s="40"/>
      <c r="X35" s="40"/>
      <c r="Y35" s="40"/>
      <c r="Z35" s="40"/>
      <c r="AA35" s="40"/>
      <c r="AB35" s="40"/>
      <c r="AC35" s="40"/>
    </row>
    <row r="36" s="6" customFormat="true" ht="18" hidden="false" customHeight="true" outlineLevel="1" collapsed="false">
      <c r="B36" s="11"/>
      <c r="C36" s="53"/>
      <c r="D36" s="54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S36" s="32" t="n">
        <f aca="false">SUM(E36:P36)</f>
        <v>0</v>
      </c>
      <c r="T36" s="28"/>
      <c r="V36" s="40"/>
      <c r="W36" s="40"/>
      <c r="X36" s="40"/>
      <c r="Y36" s="40"/>
      <c r="Z36" s="40"/>
      <c r="AA36" s="40"/>
      <c r="AB36" s="40"/>
      <c r="AC36" s="40"/>
    </row>
    <row r="37" s="6" customFormat="true" ht="18" hidden="false" customHeight="true" outlineLevel="0" collapsed="false">
      <c r="B37" s="11" t="n">
        <v>3</v>
      </c>
      <c r="C37" s="51" t="s">
        <v>40</v>
      </c>
      <c r="D37" s="54"/>
      <c r="E37" s="38" t="n">
        <f aca="false">SUM(E38:E49)</f>
        <v>0</v>
      </c>
      <c r="F37" s="38" t="n">
        <f aca="false">SUM(F38:F49)</f>
        <v>0</v>
      </c>
      <c r="G37" s="38" t="n">
        <f aca="false">SUM(G38:G49)</f>
        <v>0</v>
      </c>
      <c r="H37" s="38" t="n">
        <f aca="false">SUM(H38:H49)</f>
        <v>0</v>
      </c>
      <c r="I37" s="38" t="n">
        <f aca="false">SUM(I38:I49)</f>
        <v>0</v>
      </c>
      <c r="J37" s="38" t="n">
        <f aca="false">SUM(J38:J49)</f>
        <v>0</v>
      </c>
      <c r="K37" s="38" t="n">
        <f aca="false">SUM(K38:K49)</f>
        <v>0</v>
      </c>
      <c r="L37" s="38" t="n">
        <f aca="false">SUM(L38:L49)</f>
        <v>0</v>
      </c>
      <c r="M37" s="38" t="n">
        <f aca="false">SUM(M38:M49)</f>
        <v>0</v>
      </c>
      <c r="N37" s="38" t="n">
        <f aca="false">SUM(N38:N49)</f>
        <v>0</v>
      </c>
      <c r="O37" s="38" t="n">
        <f aca="false">SUM(O38:O49)</f>
        <v>0</v>
      </c>
      <c r="P37" s="38" t="n">
        <f aca="false">SUM(P38:P49)</f>
        <v>0</v>
      </c>
      <c r="Q37" s="38"/>
      <c r="S37" s="32" t="n">
        <f aca="false">SUM(E37:P37)</f>
        <v>0</v>
      </c>
      <c r="T37" s="28" t="s">
        <v>41</v>
      </c>
      <c r="V37" s="40"/>
      <c r="W37" s="40"/>
      <c r="X37" s="40"/>
      <c r="Y37" s="40"/>
      <c r="Z37" s="40"/>
      <c r="AA37" s="40"/>
      <c r="AB37" s="40"/>
      <c r="AC37" s="40"/>
    </row>
    <row r="38" s="6" customFormat="true" ht="18" hidden="false" customHeight="true" outlineLevel="2" collapsed="false">
      <c r="B38" s="11"/>
      <c r="C38" s="35" t="s">
        <v>42</v>
      </c>
      <c r="D38" s="54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7"/>
      <c r="S38" s="32" t="n">
        <f aca="false">SUM(E38:P38)</f>
        <v>0</v>
      </c>
      <c r="T38" s="28"/>
      <c r="V38" s="40"/>
      <c r="W38" s="40"/>
      <c r="X38" s="40"/>
      <c r="Y38" s="40"/>
      <c r="Z38" s="40"/>
      <c r="AA38" s="40"/>
      <c r="AB38" s="40"/>
      <c r="AC38" s="40"/>
    </row>
    <row r="39" s="6" customFormat="true" ht="18" hidden="false" customHeight="true" outlineLevel="2" collapsed="false">
      <c r="B39" s="11"/>
      <c r="C39" s="35" t="s">
        <v>43</v>
      </c>
      <c r="D39" s="54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7"/>
      <c r="S39" s="32" t="n">
        <f aca="false">SUM(E39:P39)</f>
        <v>0</v>
      </c>
      <c r="T39" s="28"/>
      <c r="V39" s="40"/>
      <c r="W39" s="40"/>
      <c r="X39" s="40"/>
      <c r="Y39" s="40"/>
      <c r="Z39" s="40"/>
      <c r="AA39" s="40"/>
      <c r="AB39" s="40"/>
      <c r="AC39" s="40"/>
    </row>
    <row r="40" s="6" customFormat="true" ht="18" hidden="false" customHeight="true" outlineLevel="2" collapsed="false">
      <c r="B40" s="11"/>
      <c r="C40" s="35" t="s">
        <v>44</v>
      </c>
      <c r="D40" s="54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7"/>
      <c r="S40" s="32" t="n">
        <f aca="false">SUM(E40:P40)</f>
        <v>0</v>
      </c>
      <c r="T40" s="28"/>
    </row>
    <row r="41" s="6" customFormat="true" ht="18" hidden="false" customHeight="true" outlineLevel="2" collapsed="false">
      <c r="B41" s="11"/>
      <c r="C41" s="35" t="s">
        <v>45</v>
      </c>
      <c r="D41" s="54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7"/>
      <c r="S41" s="32" t="n">
        <f aca="false">SUM(E41:P41)</f>
        <v>0</v>
      </c>
      <c r="T41" s="28"/>
    </row>
    <row r="42" s="6" customFormat="true" ht="18" hidden="false" customHeight="true" outlineLevel="2" collapsed="false">
      <c r="B42" s="11"/>
      <c r="C42" s="35" t="s">
        <v>46</v>
      </c>
      <c r="D42" s="54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7"/>
      <c r="S42" s="32" t="n">
        <f aca="false">SUM(E42:P42)</f>
        <v>0</v>
      </c>
      <c r="T42" s="28"/>
    </row>
    <row r="43" s="6" customFormat="true" ht="18" hidden="false" customHeight="true" outlineLevel="2" collapsed="false">
      <c r="B43" s="11"/>
      <c r="C43" s="35" t="s">
        <v>47</v>
      </c>
      <c r="D43" s="54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7"/>
      <c r="S43" s="32" t="n">
        <f aca="false">SUM(E43:P43)</f>
        <v>0</v>
      </c>
      <c r="T43" s="28"/>
    </row>
    <row r="44" s="6" customFormat="true" ht="18" hidden="false" customHeight="true" outlineLevel="2" collapsed="false">
      <c r="B44" s="11"/>
      <c r="C44" s="35" t="s">
        <v>48</v>
      </c>
      <c r="D44" s="54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7"/>
      <c r="S44" s="32" t="n">
        <f aca="false">SUM(E44:P44)</f>
        <v>0</v>
      </c>
      <c r="T44" s="28"/>
    </row>
    <row r="45" s="6" customFormat="true" ht="18" hidden="false" customHeight="true" outlineLevel="2" collapsed="false">
      <c r="B45" s="11"/>
      <c r="C45" s="35" t="s">
        <v>49</v>
      </c>
      <c r="D45" s="54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7"/>
      <c r="S45" s="32" t="n">
        <f aca="false">SUM(E45:P45)</f>
        <v>0</v>
      </c>
      <c r="T45" s="28"/>
    </row>
    <row r="46" s="6" customFormat="true" ht="18" hidden="false" customHeight="true" outlineLevel="2" collapsed="false">
      <c r="B46" s="11"/>
      <c r="C46" s="35" t="s">
        <v>50</v>
      </c>
      <c r="D46" s="54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7"/>
      <c r="S46" s="32" t="n">
        <f aca="false">SUM(E46:P46)</f>
        <v>0</v>
      </c>
      <c r="T46" s="28"/>
    </row>
    <row r="47" s="6" customFormat="true" ht="18" hidden="false" customHeight="true" outlineLevel="2" collapsed="false">
      <c r="B47" s="11"/>
      <c r="C47" s="35" t="s">
        <v>51</v>
      </c>
      <c r="D47" s="54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7"/>
      <c r="S47" s="32" t="n">
        <f aca="false">SUM(E47:P47)</f>
        <v>0</v>
      </c>
      <c r="T47" s="28"/>
    </row>
    <row r="48" s="6" customFormat="true" ht="18" hidden="false" customHeight="true" outlineLevel="2" collapsed="false">
      <c r="B48" s="11"/>
      <c r="C48" s="35" t="s">
        <v>52</v>
      </c>
      <c r="D48" s="54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7"/>
      <c r="S48" s="32" t="n">
        <f aca="false">SUM(E48:P48)</f>
        <v>0</v>
      </c>
      <c r="T48" s="28"/>
    </row>
    <row r="49" s="6" customFormat="true" ht="18" hidden="false" customHeight="true" outlineLevel="2" collapsed="false">
      <c r="B49" s="11"/>
      <c r="C49" s="35" t="s">
        <v>53</v>
      </c>
      <c r="D49" s="54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7"/>
      <c r="S49" s="32" t="n">
        <f aca="false">SUM(E49:P49)</f>
        <v>0</v>
      </c>
      <c r="T49" s="28"/>
    </row>
    <row r="50" s="6" customFormat="true" ht="18" hidden="false" customHeight="true" outlineLevel="2" collapsed="false">
      <c r="B50" s="11"/>
      <c r="C50" s="35"/>
      <c r="D50" s="54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S50" s="32" t="n">
        <f aca="false">SUM(E50:P50)</f>
        <v>0</v>
      </c>
      <c r="T50" s="28"/>
    </row>
    <row r="51" s="6" customFormat="true" ht="18" hidden="false" customHeight="true" outlineLevel="0" collapsed="false">
      <c r="B51" s="11" t="n">
        <v>4</v>
      </c>
      <c r="C51" s="51" t="s">
        <v>54</v>
      </c>
      <c r="D51" s="54"/>
      <c r="E51" s="38" t="n">
        <f aca="false">SUM(E52:E63)</f>
        <v>0</v>
      </c>
      <c r="F51" s="38" t="n">
        <f aca="false">SUM(F52:F63)</f>
        <v>0</v>
      </c>
      <c r="G51" s="38" t="n">
        <f aca="false">SUM(G52:G63)</f>
        <v>0</v>
      </c>
      <c r="H51" s="38" t="n">
        <f aca="false">SUM(H52:H63)</f>
        <v>0</v>
      </c>
      <c r="I51" s="38" t="n">
        <f aca="false">SUM(I52:I63)</f>
        <v>0</v>
      </c>
      <c r="J51" s="38" t="n">
        <f aca="false">SUM(J52:J63)</f>
        <v>0</v>
      </c>
      <c r="K51" s="38" t="n">
        <f aca="false">SUM(K52:K63)</f>
        <v>0</v>
      </c>
      <c r="L51" s="38" t="n">
        <f aca="false">SUM(L52:L63)</f>
        <v>0</v>
      </c>
      <c r="M51" s="38" t="n">
        <f aca="false">SUM(M52:M63)</f>
        <v>0</v>
      </c>
      <c r="N51" s="38" t="n">
        <f aca="false">SUM(N52:N63)</f>
        <v>0</v>
      </c>
      <c r="O51" s="38" t="n">
        <f aca="false">SUM(O52:O63)</f>
        <v>0</v>
      </c>
      <c r="P51" s="38" t="n">
        <f aca="false">SUM(P52:P63)</f>
        <v>0</v>
      </c>
      <c r="Q51" s="38"/>
      <c r="S51" s="32" t="n">
        <f aca="false">SUM(E51:P51)</f>
        <v>0</v>
      </c>
      <c r="T51" s="28"/>
    </row>
    <row r="52" s="6" customFormat="true" ht="18" hidden="false" customHeight="true" outlineLevel="2" collapsed="false">
      <c r="B52" s="11"/>
      <c r="C52" s="35" t="s">
        <v>55</v>
      </c>
      <c r="D52" s="54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7"/>
      <c r="S52" s="32" t="n">
        <f aca="false">SUM(E52:P52)</f>
        <v>0</v>
      </c>
      <c r="T52" s="28"/>
    </row>
    <row r="53" s="6" customFormat="true" ht="18" hidden="false" customHeight="true" outlineLevel="2" collapsed="false">
      <c r="B53" s="11"/>
      <c r="C53" s="35" t="s">
        <v>56</v>
      </c>
      <c r="D53" s="54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7"/>
      <c r="S53" s="32" t="n">
        <f aca="false">SUM(E53:P53)</f>
        <v>0</v>
      </c>
      <c r="T53" s="28"/>
    </row>
    <row r="54" s="6" customFormat="true" ht="18" hidden="false" customHeight="true" outlineLevel="2" collapsed="false">
      <c r="B54" s="11"/>
      <c r="C54" s="35" t="s">
        <v>57</v>
      </c>
      <c r="D54" s="54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7"/>
      <c r="S54" s="32" t="n">
        <f aca="false">SUM(E54:P54)</f>
        <v>0</v>
      </c>
      <c r="T54" s="28"/>
    </row>
    <row r="55" s="6" customFormat="true" ht="18" hidden="false" customHeight="true" outlineLevel="2" collapsed="false">
      <c r="B55" s="11"/>
      <c r="C55" s="35" t="s">
        <v>58</v>
      </c>
      <c r="D55" s="54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7"/>
      <c r="S55" s="32" t="n">
        <f aca="false">SUM(E55:P55)</f>
        <v>0</v>
      </c>
      <c r="T55" s="28"/>
    </row>
    <row r="56" s="6" customFormat="true" ht="18" hidden="false" customHeight="true" outlineLevel="2" collapsed="false">
      <c r="B56" s="11"/>
      <c r="C56" s="35" t="s">
        <v>59</v>
      </c>
      <c r="D56" s="54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7"/>
      <c r="S56" s="32" t="n">
        <f aca="false">SUM(E56:P56)</f>
        <v>0</v>
      </c>
      <c r="T56" s="28"/>
    </row>
    <row r="57" s="6" customFormat="true" ht="18" hidden="false" customHeight="true" outlineLevel="2" collapsed="false">
      <c r="B57" s="11"/>
      <c r="C57" s="35" t="s">
        <v>60</v>
      </c>
      <c r="D57" s="54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7"/>
      <c r="S57" s="32" t="n">
        <f aca="false">SUM(E57:P57)</f>
        <v>0</v>
      </c>
      <c r="T57" s="28"/>
    </row>
    <row r="58" s="6" customFormat="true" ht="18" hidden="false" customHeight="true" outlineLevel="2" collapsed="false">
      <c r="B58" s="11"/>
      <c r="C58" s="35" t="s">
        <v>61</v>
      </c>
      <c r="D58" s="54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7"/>
      <c r="S58" s="32" t="n">
        <f aca="false">SUM(E58:P58)</f>
        <v>0</v>
      </c>
      <c r="T58" s="28"/>
    </row>
    <row r="59" s="6" customFormat="true" ht="18" hidden="false" customHeight="true" outlineLevel="2" collapsed="false">
      <c r="B59" s="11"/>
      <c r="C59" s="35" t="s">
        <v>62</v>
      </c>
      <c r="D59" s="54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7"/>
      <c r="S59" s="32" t="n">
        <f aca="false">SUM(E59:P59)</f>
        <v>0</v>
      </c>
      <c r="T59" s="28"/>
    </row>
    <row r="60" s="6" customFormat="true" ht="18" hidden="false" customHeight="true" outlineLevel="2" collapsed="false">
      <c r="B60" s="11"/>
      <c r="C60" s="35" t="s">
        <v>63</v>
      </c>
      <c r="D60" s="54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7"/>
      <c r="S60" s="32" t="n">
        <f aca="false">SUM(E60:P60)</f>
        <v>0</v>
      </c>
      <c r="T60" s="28"/>
    </row>
    <row r="61" s="6" customFormat="true" ht="18" hidden="false" customHeight="true" outlineLevel="2" collapsed="false">
      <c r="B61" s="11"/>
      <c r="C61" s="35" t="s">
        <v>64</v>
      </c>
      <c r="D61" s="54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7"/>
      <c r="S61" s="32" t="n">
        <f aca="false">SUM(E61:P61)</f>
        <v>0</v>
      </c>
      <c r="T61" s="28"/>
    </row>
    <row r="62" s="6" customFormat="true" ht="18" hidden="false" customHeight="true" outlineLevel="2" collapsed="false">
      <c r="B62" s="11"/>
      <c r="C62" s="55" t="s">
        <v>65</v>
      </c>
      <c r="D62" s="54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7"/>
      <c r="S62" s="32" t="n">
        <f aca="false">SUM(E62:P62)</f>
        <v>0</v>
      </c>
      <c r="T62" s="28"/>
    </row>
    <row r="63" s="6" customFormat="true" ht="18" hidden="false" customHeight="true" outlineLevel="2" collapsed="false">
      <c r="B63" s="11"/>
      <c r="C63" s="56" t="s">
        <v>66</v>
      </c>
      <c r="D63" s="54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7"/>
      <c r="S63" s="32" t="n">
        <f aca="false">SUM(E63:P63)</f>
        <v>0</v>
      </c>
      <c r="T63" s="28"/>
    </row>
    <row r="64" s="6" customFormat="true" ht="18" hidden="false" customHeight="true" outlineLevel="0" collapsed="false">
      <c r="B64" s="11" t="n">
        <v>5</v>
      </c>
      <c r="C64" s="51" t="s">
        <v>67</v>
      </c>
      <c r="D64" s="54"/>
      <c r="E64" s="38" t="n">
        <f aca="false">SUM(E65:E76)</f>
        <v>0</v>
      </c>
      <c r="F64" s="38" t="n">
        <f aca="false">SUM(F65:F76)</f>
        <v>0</v>
      </c>
      <c r="G64" s="38" t="n">
        <f aca="false">SUM(G65:G76)</f>
        <v>0</v>
      </c>
      <c r="H64" s="38" t="n">
        <f aca="false">SUM(H65:H76)</f>
        <v>0</v>
      </c>
      <c r="I64" s="38" t="n">
        <f aca="false">SUM(I65:I76)</f>
        <v>0</v>
      </c>
      <c r="J64" s="38" t="n">
        <f aca="false">SUM(J65:J76)</f>
        <v>0</v>
      </c>
      <c r="K64" s="38" t="n">
        <f aca="false">SUM(K65:K76)</f>
        <v>0</v>
      </c>
      <c r="L64" s="38" t="n">
        <f aca="false">SUM(L65:L76)</f>
        <v>0</v>
      </c>
      <c r="M64" s="38" t="n">
        <f aca="false">SUM(M65:M76)</f>
        <v>0</v>
      </c>
      <c r="N64" s="38" t="n">
        <f aca="false">SUM(N65:N76)</f>
        <v>0</v>
      </c>
      <c r="O64" s="38" t="n">
        <f aca="false">SUM(O65:O76)</f>
        <v>0</v>
      </c>
      <c r="P64" s="38" t="n">
        <f aca="false">SUM(P65:P76)</f>
        <v>0</v>
      </c>
      <c r="Q64" s="38"/>
      <c r="S64" s="32" t="n">
        <f aca="false">SUM(E64:P64)</f>
        <v>0</v>
      </c>
      <c r="T64" s="28"/>
    </row>
    <row r="65" s="6" customFormat="true" ht="18" hidden="false" customHeight="true" outlineLevel="2" collapsed="false">
      <c r="B65" s="11"/>
      <c r="C65" s="55" t="s">
        <v>68</v>
      </c>
      <c r="D65" s="54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7"/>
      <c r="S65" s="32" t="n">
        <f aca="false">SUM(E65:P65)</f>
        <v>0</v>
      </c>
      <c r="T65" s="28"/>
    </row>
    <row r="66" s="6" customFormat="true" ht="18" hidden="false" customHeight="true" outlineLevel="2" collapsed="false">
      <c r="B66" s="11"/>
      <c r="C66" s="55" t="s">
        <v>69</v>
      </c>
      <c r="D66" s="54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7"/>
      <c r="S66" s="32" t="n">
        <f aca="false">SUM(E66:P66)</f>
        <v>0</v>
      </c>
      <c r="T66" s="28"/>
    </row>
    <row r="67" s="6" customFormat="true" ht="18" hidden="false" customHeight="true" outlineLevel="2" collapsed="false">
      <c r="B67" s="11"/>
      <c r="C67" s="55" t="s">
        <v>70</v>
      </c>
      <c r="D67" s="54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7"/>
      <c r="S67" s="32" t="n">
        <f aca="false">SUM(E67:P67)</f>
        <v>0</v>
      </c>
      <c r="T67" s="28"/>
    </row>
    <row r="68" s="6" customFormat="true" ht="18" hidden="false" customHeight="true" outlineLevel="2" collapsed="false">
      <c r="B68" s="11"/>
      <c r="C68" s="55" t="s">
        <v>71</v>
      </c>
      <c r="D68" s="54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7"/>
      <c r="S68" s="32" t="n">
        <f aca="false">SUM(E68:P68)</f>
        <v>0</v>
      </c>
      <c r="T68" s="28"/>
    </row>
    <row r="69" s="6" customFormat="true" ht="18" hidden="false" customHeight="true" outlineLevel="2" collapsed="false">
      <c r="B69" s="11"/>
      <c r="C69" s="55" t="s">
        <v>72</v>
      </c>
      <c r="D69" s="54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7"/>
      <c r="S69" s="32" t="n">
        <f aca="false">SUM(E69:P69)</f>
        <v>0</v>
      </c>
      <c r="T69" s="28"/>
    </row>
    <row r="70" s="6" customFormat="true" ht="18" hidden="false" customHeight="true" outlineLevel="2" collapsed="false">
      <c r="B70" s="11"/>
      <c r="C70" s="55" t="s">
        <v>73</v>
      </c>
      <c r="D70" s="54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7"/>
      <c r="S70" s="32" t="n">
        <f aca="false">SUM(E70:P70)</f>
        <v>0</v>
      </c>
      <c r="T70" s="28"/>
    </row>
    <row r="71" s="6" customFormat="true" ht="18" hidden="false" customHeight="true" outlineLevel="2" collapsed="false">
      <c r="B71" s="11"/>
      <c r="C71" s="55" t="s">
        <v>74</v>
      </c>
      <c r="D71" s="54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7"/>
      <c r="S71" s="32" t="n">
        <f aca="false">SUM(E71:P71)</f>
        <v>0</v>
      </c>
      <c r="T71" s="28"/>
    </row>
    <row r="72" s="6" customFormat="true" ht="18" hidden="false" customHeight="true" outlineLevel="2" collapsed="false">
      <c r="B72" s="11"/>
      <c r="C72" s="55" t="s">
        <v>75</v>
      </c>
      <c r="D72" s="54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7"/>
      <c r="S72" s="32" t="n">
        <f aca="false">SUM(E72:P72)</f>
        <v>0</v>
      </c>
      <c r="T72" s="28"/>
    </row>
    <row r="73" s="6" customFormat="true" ht="18" hidden="false" customHeight="true" outlineLevel="2" collapsed="false">
      <c r="B73" s="11"/>
      <c r="C73" s="55" t="s">
        <v>76</v>
      </c>
      <c r="D73" s="54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7"/>
      <c r="S73" s="32" t="n">
        <f aca="false">SUM(E73:P73)</f>
        <v>0</v>
      </c>
      <c r="T73" s="28"/>
    </row>
    <row r="74" s="6" customFormat="true" ht="18" hidden="false" customHeight="true" outlineLevel="2" collapsed="false">
      <c r="B74" s="11"/>
      <c r="C74" s="41" t="s">
        <v>77</v>
      </c>
      <c r="D74" s="54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7"/>
      <c r="S74" s="32" t="n">
        <f aca="false">SUM(E74:P74)</f>
        <v>0</v>
      </c>
      <c r="T74" s="28"/>
    </row>
    <row r="75" s="6" customFormat="true" ht="18" hidden="false" customHeight="true" outlineLevel="2" collapsed="false">
      <c r="B75" s="11"/>
      <c r="C75" s="41" t="s">
        <v>78</v>
      </c>
      <c r="D75" s="54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7"/>
      <c r="S75" s="32" t="n">
        <f aca="false">SUM(E75:P75)</f>
        <v>0</v>
      </c>
      <c r="T75" s="28"/>
    </row>
    <row r="76" s="6" customFormat="true" ht="18" hidden="false" customHeight="true" outlineLevel="2" collapsed="false">
      <c r="B76" s="11"/>
      <c r="C76" s="41" t="s">
        <v>79</v>
      </c>
      <c r="D76" s="54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7"/>
      <c r="S76" s="32" t="n">
        <f aca="false">SUM(E76:P76)</f>
        <v>0</v>
      </c>
      <c r="T76" s="28"/>
    </row>
    <row r="77" s="6" customFormat="true" ht="18" hidden="false" customHeight="true" outlineLevel="0" collapsed="false">
      <c r="B77" s="11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S77" s="44"/>
      <c r="T77" s="28"/>
    </row>
    <row r="78" s="57" customFormat="true" ht="18" hidden="false" customHeight="true" outlineLevel="0" collapsed="false">
      <c r="B78" s="58"/>
      <c r="C78" s="59" t="s">
        <v>80</v>
      </c>
      <c r="D78" s="54"/>
      <c r="E78" s="60" t="n">
        <f aca="false">SUM(E26,E33,E37,E51,E64)</f>
        <v>0</v>
      </c>
      <c r="F78" s="60" t="n">
        <f aca="false">SUM(F26,F33,F37,F51,F64)</f>
        <v>0</v>
      </c>
      <c r="G78" s="60" t="n">
        <f aca="false">SUM(G26,G33,G37,G51,G64)</f>
        <v>0</v>
      </c>
      <c r="H78" s="60" t="n">
        <f aca="false">SUM(H26,H33,H37,H51,H64)</f>
        <v>0</v>
      </c>
      <c r="I78" s="60" t="n">
        <f aca="false">SUM(I26,I33,I37,I51,I64)</f>
        <v>0</v>
      </c>
      <c r="J78" s="60" t="n">
        <f aca="false">SUM(J26,J33,J37,J51,J64)</f>
        <v>0</v>
      </c>
      <c r="K78" s="60" t="n">
        <f aca="false">SUM(K26,K33,K37,K51,K64)</f>
        <v>0</v>
      </c>
      <c r="L78" s="60" t="n">
        <f aca="false">SUM(L26,L33,L37,L51,L64)</f>
        <v>0</v>
      </c>
      <c r="M78" s="60" t="n">
        <f aca="false">SUM(M26,M33,M37,M51,M64)</f>
        <v>0</v>
      </c>
      <c r="N78" s="60" t="n">
        <f aca="false">SUM(N26,N33,N37,N51,N64)</f>
        <v>0</v>
      </c>
      <c r="O78" s="60" t="n">
        <f aca="false">SUM(O26,O33,O37,O51,O64)</f>
        <v>0</v>
      </c>
      <c r="P78" s="60" t="n">
        <f aca="false">SUM(P26,P33,P37,P51,P64)</f>
        <v>0</v>
      </c>
      <c r="Q78" s="60"/>
      <c r="R78" s="61"/>
      <c r="S78" s="60" t="n">
        <f aca="false">SUM(E78:P78)</f>
        <v>0</v>
      </c>
      <c r="T78" s="28"/>
      <c r="U78" s="61"/>
    </row>
    <row r="79" s="57" customFormat="true" ht="13.5" hidden="false" customHeight="true" outlineLevel="0" collapsed="false">
      <c r="B79" s="58"/>
      <c r="C79" s="62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61"/>
      <c r="S79" s="54"/>
      <c r="T79" s="28"/>
      <c r="U79" s="61"/>
    </row>
    <row r="80" s="57" customFormat="true" ht="18" hidden="false" customHeight="true" outlineLevel="0" collapsed="false">
      <c r="B80" s="58"/>
      <c r="C80" s="62" t="s">
        <v>81</v>
      </c>
      <c r="D80" s="54"/>
      <c r="E80" s="63" t="n">
        <f aca="false">SUM(E22,E78)</f>
        <v>0</v>
      </c>
      <c r="F80" s="63" t="n">
        <f aca="false">SUM(F22,F78)</f>
        <v>0</v>
      </c>
      <c r="G80" s="63" t="n">
        <f aca="false">SUM(G22,G78)</f>
        <v>0</v>
      </c>
      <c r="H80" s="63" t="n">
        <f aca="false">SUM(H22,H78)</f>
        <v>0</v>
      </c>
      <c r="I80" s="63" t="n">
        <f aca="false">SUM(I22,I78)</f>
        <v>0</v>
      </c>
      <c r="J80" s="63" t="n">
        <f aca="false">SUM(J22,J78)</f>
        <v>0</v>
      </c>
      <c r="K80" s="63" t="n">
        <f aca="false">SUM(K22,K78)</f>
        <v>0</v>
      </c>
      <c r="L80" s="63" t="n">
        <f aca="false">SUM(L22,L78)</f>
        <v>0</v>
      </c>
      <c r="M80" s="63" t="n">
        <f aca="false">SUM(M22,M78)</f>
        <v>0</v>
      </c>
      <c r="N80" s="63" t="n">
        <f aca="false">SUM(N22,N78)</f>
        <v>0</v>
      </c>
      <c r="O80" s="63" t="n">
        <f aca="false">SUM(O22,O78)</f>
        <v>0</v>
      </c>
      <c r="P80" s="63" t="n">
        <f aca="false">SUM(P22,P78)</f>
        <v>0</v>
      </c>
      <c r="Q80" s="63"/>
      <c r="R80" s="61"/>
      <c r="S80" s="63" t="n">
        <f aca="false">SUM(E80:P80)</f>
        <v>0</v>
      </c>
      <c r="T80" s="28"/>
      <c r="U80" s="61"/>
    </row>
    <row r="81" s="57" customFormat="true" ht="18" hidden="false" customHeight="true" outlineLevel="0" collapsed="false">
      <c r="B81" s="58"/>
      <c r="C81" s="62" t="s">
        <v>82</v>
      </c>
      <c r="D81" s="54"/>
      <c r="E81" s="64" t="n">
        <f aca="false">IFERROR(E80/E22, 0)</f>
        <v>0</v>
      </c>
      <c r="F81" s="64" t="n">
        <f aca="false">IFERROR(F80/F22, 0)</f>
        <v>0</v>
      </c>
      <c r="G81" s="64" t="n">
        <f aca="false">IFERROR(G80/G22, 0)</f>
        <v>0</v>
      </c>
      <c r="H81" s="64" t="n">
        <f aca="false">IFERROR(H80/H22, 0)</f>
        <v>0</v>
      </c>
      <c r="I81" s="64" t="n">
        <f aca="false">IFERROR(I80/I22, 0)</f>
        <v>0</v>
      </c>
      <c r="J81" s="64" t="n">
        <f aca="false">IFERROR(J80/J22, 0)</f>
        <v>0</v>
      </c>
      <c r="K81" s="64" t="n">
        <f aca="false">IFERROR(K80/K22, 0)</f>
        <v>0</v>
      </c>
      <c r="L81" s="64" t="n">
        <f aca="false">IFERROR(L80/L22, 0)</f>
        <v>0</v>
      </c>
      <c r="M81" s="64" t="n">
        <f aca="false">IFERROR(M80/M22, 0)</f>
        <v>0</v>
      </c>
      <c r="N81" s="64" t="n">
        <f aca="false">IFERROR(N80/N22, 0)</f>
        <v>0</v>
      </c>
      <c r="O81" s="64" t="n">
        <f aca="false">IFERROR(O80/O22, 0)</f>
        <v>0</v>
      </c>
      <c r="P81" s="64" t="n">
        <f aca="false">IFERROR(P80/P22, 0)</f>
        <v>0</v>
      </c>
      <c r="Q81" s="64"/>
      <c r="R81" s="61"/>
      <c r="S81" s="65" t="n">
        <f aca="false">SUM(E81:P81)</f>
        <v>0</v>
      </c>
      <c r="T81" s="28"/>
      <c r="U81" s="61"/>
    </row>
    <row r="82" s="57" customFormat="true" ht="18" hidden="false" customHeight="true" outlineLevel="0" collapsed="false">
      <c r="B82" s="58"/>
      <c r="C82" s="62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61"/>
      <c r="S82" s="54"/>
      <c r="T82" s="28"/>
      <c r="U82" s="61"/>
    </row>
    <row r="83" s="6" customFormat="true" ht="18" hidden="false" customHeight="true" outlineLevel="0" collapsed="false">
      <c r="B83" s="11" t="s">
        <v>83</v>
      </c>
      <c r="C83" s="47" t="s">
        <v>84</v>
      </c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S83" s="54"/>
      <c r="T83" s="28"/>
    </row>
    <row r="84" s="6" customFormat="true" ht="18" hidden="false" customHeight="true" outlineLevel="0" collapsed="false">
      <c r="B84" s="11" t="n">
        <v>1</v>
      </c>
      <c r="C84" s="66" t="s">
        <v>85</v>
      </c>
      <c r="D84" s="54"/>
      <c r="E84" s="63" t="n">
        <f aca="false">SUM(E85:E98)</f>
        <v>0</v>
      </c>
      <c r="F84" s="63" t="n">
        <f aca="false">SUM(F85:F98)</f>
        <v>0</v>
      </c>
      <c r="G84" s="63" t="n">
        <f aca="false">SUM(G85:G98)</f>
        <v>0</v>
      </c>
      <c r="H84" s="63" t="n">
        <f aca="false">SUM(H85:H98)</f>
        <v>0</v>
      </c>
      <c r="I84" s="63" t="n">
        <f aca="false">SUM(I85:I98)</f>
        <v>0</v>
      </c>
      <c r="J84" s="63" t="n">
        <f aca="false">SUM(J85:J98)</f>
        <v>0</v>
      </c>
      <c r="K84" s="63" t="n">
        <f aca="false">SUM(K85:K98)</f>
        <v>0</v>
      </c>
      <c r="L84" s="63" t="n">
        <f aca="false">SUM(L85:L98)</f>
        <v>0</v>
      </c>
      <c r="M84" s="63" t="n">
        <f aca="false">SUM(M85:M98)</f>
        <v>0</v>
      </c>
      <c r="N84" s="63" t="n">
        <f aca="false">SUM(N85:N98)</f>
        <v>0</v>
      </c>
      <c r="O84" s="63" t="n">
        <f aca="false">SUM(O85:O98)</f>
        <v>0</v>
      </c>
      <c r="P84" s="63" t="n">
        <f aca="false">SUM(P85:P98)</f>
        <v>0</v>
      </c>
      <c r="Q84" s="63"/>
      <c r="S84" s="63" t="n">
        <f aca="false">SUM(E84:P84)</f>
        <v>0</v>
      </c>
      <c r="T84" s="28"/>
    </row>
    <row r="85" s="6" customFormat="true" ht="18" hidden="false" customHeight="true" outlineLevel="1" collapsed="false">
      <c r="B85" s="11"/>
      <c r="C85" s="67" t="s">
        <v>86</v>
      </c>
      <c r="D85" s="54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7"/>
      <c r="S85" s="63" t="n">
        <f aca="false">SUM(E85:P85)</f>
        <v>0</v>
      </c>
      <c r="T85" s="28"/>
    </row>
    <row r="86" s="6" customFormat="true" ht="18" hidden="false" customHeight="true" outlineLevel="1" collapsed="false">
      <c r="B86" s="11"/>
      <c r="C86" s="67" t="s">
        <v>87</v>
      </c>
      <c r="D86" s="54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7"/>
      <c r="S86" s="63" t="n">
        <f aca="false">SUM(E86:P86)</f>
        <v>0</v>
      </c>
      <c r="T86" s="28"/>
    </row>
    <row r="87" s="6" customFormat="true" ht="18" hidden="false" customHeight="true" outlineLevel="1" collapsed="false">
      <c r="B87" s="11"/>
      <c r="C87" s="67" t="s">
        <v>88</v>
      </c>
      <c r="D87" s="54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7"/>
      <c r="S87" s="63" t="n">
        <f aca="false">SUM(E87:P87)</f>
        <v>0</v>
      </c>
      <c r="T87" s="28"/>
    </row>
    <row r="88" s="6" customFormat="true" ht="18" hidden="false" customHeight="true" outlineLevel="1" collapsed="false">
      <c r="B88" s="11"/>
      <c r="C88" s="67" t="s">
        <v>89</v>
      </c>
      <c r="D88" s="54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7"/>
      <c r="S88" s="63" t="n">
        <f aca="false">SUM(E88:P88)</f>
        <v>0</v>
      </c>
      <c r="T88" s="28"/>
    </row>
    <row r="89" s="6" customFormat="true" ht="18" hidden="false" customHeight="true" outlineLevel="1" collapsed="false">
      <c r="B89" s="11"/>
      <c r="C89" s="67" t="s">
        <v>90</v>
      </c>
      <c r="D89" s="54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7"/>
      <c r="S89" s="63" t="n">
        <f aca="false">SUM(E89:P89)</f>
        <v>0</v>
      </c>
      <c r="T89" s="28"/>
    </row>
    <row r="90" s="6" customFormat="true" ht="18" hidden="false" customHeight="true" outlineLevel="1" collapsed="false">
      <c r="B90" s="11"/>
      <c r="C90" s="67" t="s">
        <v>91</v>
      </c>
      <c r="D90" s="54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7"/>
      <c r="S90" s="63" t="n">
        <f aca="false">SUM(E90:P90)</f>
        <v>0</v>
      </c>
      <c r="T90" s="28"/>
    </row>
    <row r="91" s="6" customFormat="true" ht="18" hidden="false" customHeight="true" outlineLevel="1" collapsed="false">
      <c r="B91" s="11"/>
      <c r="C91" s="67" t="s">
        <v>92</v>
      </c>
      <c r="D91" s="54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7"/>
      <c r="S91" s="63" t="n">
        <f aca="false">SUM(E91:P91)</f>
        <v>0</v>
      </c>
      <c r="T91" s="28"/>
    </row>
    <row r="92" s="6" customFormat="true" ht="18" hidden="false" customHeight="true" outlineLevel="1" collapsed="false">
      <c r="B92" s="11"/>
      <c r="C92" s="67" t="s">
        <v>93</v>
      </c>
      <c r="D92" s="54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7"/>
      <c r="S92" s="63" t="n">
        <f aca="false">SUM(E92:P92)</f>
        <v>0</v>
      </c>
      <c r="T92" s="28"/>
    </row>
    <row r="93" s="6" customFormat="true" ht="18" hidden="false" customHeight="true" outlineLevel="1" collapsed="false">
      <c r="B93" s="11"/>
      <c r="C93" s="67" t="s">
        <v>94</v>
      </c>
      <c r="D93" s="54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7"/>
      <c r="S93" s="63" t="n">
        <f aca="false">SUM(E93:P93)</f>
        <v>0</v>
      </c>
      <c r="T93" s="28"/>
    </row>
    <row r="94" s="6" customFormat="true" ht="18" hidden="false" customHeight="true" outlineLevel="1" collapsed="false">
      <c r="B94" s="11"/>
      <c r="C94" s="67" t="s">
        <v>95</v>
      </c>
      <c r="D94" s="54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7"/>
      <c r="S94" s="63" t="n">
        <f aca="false">SUM(E94:P94)</f>
        <v>0</v>
      </c>
      <c r="T94" s="28"/>
    </row>
    <row r="95" s="6" customFormat="true" ht="18" hidden="false" customHeight="true" outlineLevel="1" collapsed="false">
      <c r="B95" s="11"/>
      <c r="C95" s="67" t="s">
        <v>96</v>
      </c>
      <c r="D95" s="54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7"/>
      <c r="S95" s="63" t="n">
        <f aca="false">SUM(E95:P95)</f>
        <v>0</v>
      </c>
      <c r="T95" s="28"/>
    </row>
    <row r="96" s="6" customFormat="true" ht="18" hidden="false" customHeight="true" outlineLevel="1" collapsed="false">
      <c r="B96" s="11"/>
      <c r="C96" s="67" t="s">
        <v>97</v>
      </c>
      <c r="D96" s="54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7"/>
      <c r="S96" s="63" t="n">
        <f aca="false">SUM(E96:P96)</f>
        <v>0</v>
      </c>
      <c r="T96" s="28"/>
    </row>
    <row r="97" s="6" customFormat="true" ht="18" hidden="false" customHeight="true" outlineLevel="1" collapsed="false">
      <c r="B97" s="11"/>
      <c r="C97" s="67" t="s">
        <v>98</v>
      </c>
      <c r="D97" s="54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7"/>
      <c r="S97" s="63" t="n">
        <f aca="false">SUM(E97:P97)</f>
        <v>0</v>
      </c>
      <c r="T97" s="28"/>
    </row>
    <row r="98" s="6" customFormat="true" ht="18" hidden="false" customHeight="true" outlineLevel="1" collapsed="false">
      <c r="B98" s="11"/>
      <c r="C98" s="67" t="s">
        <v>99</v>
      </c>
      <c r="D98" s="54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7"/>
      <c r="S98" s="63" t="n">
        <f aca="false">SUM(E98:P98)</f>
        <v>0</v>
      </c>
      <c r="T98" s="28"/>
    </row>
    <row r="99" s="49" customFormat="true" ht="18" hidden="false" customHeight="true" outlineLevel="0" collapsed="false">
      <c r="B99" s="11" t="n">
        <v>2</v>
      </c>
      <c r="C99" s="68" t="s">
        <v>100</v>
      </c>
      <c r="D99" s="54"/>
      <c r="E99" s="38" t="n">
        <f aca="false">SUM(E100:E101)</f>
        <v>0</v>
      </c>
      <c r="F99" s="38" t="n">
        <f aca="false">SUM(F100:F101)</f>
        <v>0</v>
      </c>
      <c r="G99" s="38" t="n">
        <f aca="false">SUM(G100:G101)</f>
        <v>0</v>
      </c>
      <c r="H99" s="38" t="n">
        <f aca="false">SUM(H100:H101)</f>
        <v>0</v>
      </c>
      <c r="I99" s="38" t="n">
        <f aca="false">SUM(I100:I101)</f>
        <v>0</v>
      </c>
      <c r="J99" s="38" t="n">
        <f aca="false">SUM(J100:J101)</f>
        <v>0</v>
      </c>
      <c r="K99" s="38" t="n">
        <f aca="false">SUM(K100:K101)</f>
        <v>0</v>
      </c>
      <c r="L99" s="38" t="n">
        <f aca="false">SUM(L100:L101)</f>
        <v>0</v>
      </c>
      <c r="M99" s="38" t="n">
        <f aca="false">SUM(M100:M101)</f>
        <v>0</v>
      </c>
      <c r="N99" s="38" t="n">
        <f aca="false">SUM(N100:N101)</f>
        <v>0</v>
      </c>
      <c r="O99" s="38" t="n">
        <f aca="false">SUM(O100:O101)</f>
        <v>0</v>
      </c>
      <c r="P99" s="38" t="n">
        <f aca="false">SUM(P100:P101)</f>
        <v>0</v>
      </c>
      <c r="Q99" s="38"/>
      <c r="S99" s="63" t="n">
        <f aca="false">SUM(E99:P99)</f>
        <v>0</v>
      </c>
      <c r="T99" s="28"/>
    </row>
    <row r="100" s="6" customFormat="true" ht="18" hidden="false" customHeight="true" outlineLevel="1" collapsed="false">
      <c r="B100" s="11"/>
      <c r="C100" s="67" t="s">
        <v>101</v>
      </c>
      <c r="D100" s="54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7"/>
      <c r="S100" s="63" t="n">
        <f aca="false">SUM(E100:P100)</f>
        <v>0</v>
      </c>
      <c r="T100" s="28"/>
    </row>
    <row r="101" s="6" customFormat="true" ht="18" hidden="false" customHeight="true" outlineLevel="1" collapsed="false">
      <c r="B101" s="11"/>
      <c r="C101" s="67" t="s">
        <v>102</v>
      </c>
      <c r="D101" s="54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7"/>
      <c r="S101" s="63" t="n">
        <f aca="false">SUM(E101:P101)</f>
        <v>0</v>
      </c>
      <c r="T101" s="28"/>
    </row>
    <row r="102" s="6" customFormat="true" ht="18" hidden="false" customHeight="true" outlineLevel="1" collapsed="false">
      <c r="B102" s="11"/>
      <c r="C102" s="69"/>
      <c r="D102" s="54"/>
      <c r="E102" s="37" t="n">
        <v>0</v>
      </c>
      <c r="F102" s="37" t="n">
        <v>0</v>
      </c>
      <c r="G102" s="37" t="n">
        <v>0</v>
      </c>
      <c r="H102" s="37" t="n">
        <v>0</v>
      </c>
      <c r="I102" s="37" t="n">
        <v>0</v>
      </c>
      <c r="J102" s="37" t="n">
        <v>0</v>
      </c>
      <c r="K102" s="37" t="n">
        <v>0</v>
      </c>
      <c r="L102" s="37" t="n">
        <v>0</v>
      </c>
      <c r="M102" s="37" t="n">
        <v>0</v>
      </c>
      <c r="N102" s="37" t="n">
        <v>0</v>
      </c>
      <c r="O102" s="37" t="n">
        <v>0</v>
      </c>
      <c r="P102" s="37" t="n">
        <v>0</v>
      </c>
      <c r="Q102" s="37"/>
      <c r="S102" s="63" t="n">
        <f aca="false">SUM(E102:P102)</f>
        <v>0</v>
      </c>
      <c r="T102" s="28"/>
    </row>
    <row r="103" s="49" customFormat="true" ht="18" hidden="false" customHeight="true" outlineLevel="0" collapsed="false">
      <c r="B103" s="11" t="n">
        <v>3</v>
      </c>
      <c r="C103" s="68" t="s">
        <v>103</v>
      </c>
      <c r="D103" s="54"/>
      <c r="E103" s="38" t="n">
        <f aca="false">SUM(E104:E114)</f>
        <v>0</v>
      </c>
      <c r="F103" s="38" t="n">
        <f aca="false">SUM(F104:F114)</f>
        <v>0</v>
      </c>
      <c r="G103" s="38" t="n">
        <f aca="false">SUM(G104:G114)</f>
        <v>0</v>
      </c>
      <c r="H103" s="38" t="n">
        <f aca="false">SUM(H104:H114)</f>
        <v>0</v>
      </c>
      <c r="I103" s="38" t="n">
        <f aca="false">SUM(I104:I114)</f>
        <v>0</v>
      </c>
      <c r="J103" s="38" t="n">
        <f aca="false">SUM(J104:J114)</f>
        <v>0</v>
      </c>
      <c r="K103" s="38" t="n">
        <f aca="false">SUM(K104:K114)</f>
        <v>0</v>
      </c>
      <c r="L103" s="38" t="n">
        <f aca="false">SUM(L104:L114)</f>
        <v>0</v>
      </c>
      <c r="M103" s="38" t="n">
        <f aca="false">SUM(M104:M114)</f>
        <v>0</v>
      </c>
      <c r="N103" s="38" t="n">
        <f aca="false">SUM(N104:N114)</f>
        <v>0</v>
      </c>
      <c r="O103" s="38" t="n">
        <f aca="false">SUM(O104:O114)</f>
        <v>0</v>
      </c>
      <c r="P103" s="38" t="n">
        <f aca="false">SUM(P104:P114)</f>
        <v>0</v>
      </c>
      <c r="Q103" s="38"/>
      <c r="S103" s="63" t="n">
        <f aca="false">SUM(E103:P103)</f>
        <v>0</v>
      </c>
      <c r="T103" s="28"/>
    </row>
    <row r="104" s="6" customFormat="true" ht="18" hidden="false" customHeight="true" outlineLevel="1" collapsed="false">
      <c r="B104" s="11"/>
      <c r="C104" s="67" t="s">
        <v>104</v>
      </c>
      <c r="D104" s="54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1"/>
      <c r="S104" s="63" t="n">
        <f aca="false">SUM(E104:P104)</f>
        <v>0</v>
      </c>
      <c r="T104" s="28"/>
    </row>
    <row r="105" s="6" customFormat="true" ht="18" hidden="false" customHeight="true" outlineLevel="1" collapsed="false">
      <c r="B105" s="11"/>
      <c r="C105" s="67" t="s">
        <v>105</v>
      </c>
      <c r="D105" s="54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1"/>
      <c r="S105" s="63" t="n">
        <f aca="false">SUM(E105:P105)</f>
        <v>0</v>
      </c>
      <c r="T105" s="28"/>
    </row>
    <row r="106" s="6" customFormat="true" ht="18" hidden="false" customHeight="true" outlineLevel="1" collapsed="false">
      <c r="B106" s="11"/>
      <c r="C106" s="67" t="s">
        <v>106</v>
      </c>
      <c r="D106" s="54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1"/>
      <c r="S106" s="63" t="n">
        <f aca="false">SUM(E106:P106)</f>
        <v>0</v>
      </c>
      <c r="T106" s="28"/>
    </row>
    <row r="107" s="6" customFormat="true" ht="18" hidden="false" customHeight="true" outlineLevel="1" collapsed="false">
      <c r="B107" s="11"/>
      <c r="C107" s="67" t="s">
        <v>107</v>
      </c>
      <c r="D107" s="54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1"/>
      <c r="S107" s="63" t="n">
        <f aca="false">SUM(E107:P107)</f>
        <v>0</v>
      </c>
      <c r="T107" s="28"/>
    </row>
    <row r="108" s="6" customFormat="true" ht="18" hidden="false" customHeight="true" outlineLevel="1" collapsed="false">
      <c r="B108" s="11"/>
      <c r="C108" s="67" t="s">
        <v>108</v>
      </c>
      <c r="D108" s="54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1"/>
      <c r="S108" s="63" t="n">
        <f aca="false">SUM(E108:P108)</f>
        <v>0</v>
      </c>
      <c r="T108" s="28"/>
    </row>
    <row r="109" s="6" customFormat="true" ht="18" hidden="false" customHeight="true" outlineLevel="1" collapsed="false">
      <c r="B109" s="11"/>
      <c r="C109" s="67" t="s">
        <v>109</v>
      </c>
      <c r="D109" s="54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1"/>
      <c r="S109" s="63" t="n">
        <f aca="false">SUM(E109:P109)</f>
        <v>0</v>
      </c>
      <c r="T109" s="28"/>
    </row>
    <row r="110" s="6" customFormat="true" ht="18" hidden="false" customHeight="true" outlineLevel="1" collapsed="false">
      <c r="B110" s="11"/>
      <c r="C110" s="67" t="s">
        <v>110</v>
      </c>
      <c r="D110" s="54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1"/>
      <c r="S110" s="63" t="n">
        <f aca="false">SUM(E110:P110)</f>
        <v>0</v>
      </c>
      <c r="T110" s="28"/>
    </row>
    <row r="111" s="6" customFormat="true" ht="18" hidden="false" customHeight="true" outlineLevel="1" collapsed="false">
      <c r="B111" s="11"/>
      <c r="C111" s="67" t="s">
        <v>111</v>
      </c>
      <c r="D111" s="54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1"/>
      <c r="S111" s="63" t="n">
        <f aca="false">SUM(E111:P111)</f>
        <v>0</v>
      </c>
      <c r="T111" s="28"/>
    </row>
    <row r="112" s="6" customFormat="true" ht="18" hidden="false" customHeight="true" outlineLevel="1" collapsed="false">
      <c r="B112" s="11"/>
      <c r="C112" s="67" t="s">
        <v>112</v>
      </c>
      <c r="D112" s="54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1"/>
      <c r="S112" s="63" t="n">
        <f aca="false">SUM(E112:P112)</f>
        <v>0</v>
      </c>
      <c r="T112" s="28"/>
    </row>
    <row r="113" s="6" customFormat="true" ht="18" hidden="false" customHeight="true" outlineLevel="1" collapsed="false">
      <c r="B113" s="11"/>
      <c r="C113" s="67" t="s">
        <v>113</v>
      </c>
      <c r="D113" s="54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1"/>
      <c r="S113" s="63" t="n">
        <f aca="false">SUM(E113:P113)</f>
        <v>0</v>
      </c>
      <c r="T113" s="28"/>
    </row>
    <row r="114" s="6" customFormat="true" ht="18" hidden="false" customHeight="true" outlineLevel="1" collapsed="false">
      <c r="B114" s="11"/>
      <c r="C114" s="67" t="s">
        <v>114</v>
      </c>
      <c r="D114" s="54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1"/>
      <c r="S114" s="63" t="n">
        <f aca="false">SUM(E114:P114)</f>
        <v>0</v>
      </c>
      <c r="T114" s="28"/>
    </row>
    <row r="115" s="6" customFormat="true" ht="18" hidden="false" customHeight="true" outlineLevel="1" collapsed="false">
      <c r="B115" s="11"/>
      <c r="C115" s="67"/>
      <c r="D115" s="54"/>
      <c r="E115" s="71" t="n">
        <v>0</v>
      </c>
      <c r="F115" s="71" t="n">
        <v>0</v>
      </c>
      <c r="G115" s="71" t="n">
        <v>0</v>
      </c>
      <c r="H115" s="71" t="n">
        <v>0</v>
      </c>
      <c r="I115" s="71" t="n">
        <v>0</v>
      </c>
      <c r="J115" s="71" t="n">
        <v>0</v>
      </c>
      <c r="K115" s="71" t="n">
        <v>0</v>
      </c>
      <c r="L115" s="71" t="n">
        <v>0</v>
      </c>
      <c r="M115" s="71" t="n">
        <v>0</v>
      </c>
      <c r="N115" s="71" t="n">
        <v>0</v>
      </c>
      <c r="O115" s="71" t="n">
        <v>0</v>
      </c>
      <c r="P115" s="71" t="n">
        <v>0</v>
      </c>
      <c r="Q115" s="71"/>
      <c r="S115" s="63" t="n">
        <f aca="false">SUM(E115:P115)</f>
        <v>0</v>
      </c>
      <c r="T115" s="28"/>
    </row>
    <row r="116" s="49" customFormat="true" ht="18" hidden="false" customHeight="true" outlineLevel="0" collapsed="false">
      <c r="B116" s="11" t="n">
        <v>4</v>
      </c>
      <c r="C116" s="68" t="s">
        <v>115</v>
      </c>
      <c r="D116" s="54"/>
      <c r="E116" s="38" t="n">
        <f aca="false">SUM(E117:E121)</f>
        <v>0</v>
      </c>
      <c r="F116" s="38" t="n">
        <f aca="false">SUM(F117:F121)</f>
        <v>0</v>
      </c>
      <c r="G116" s="38" t="n">
        <f aca="false">SUM(G117:G121)</f>
        <v>0</v>
      </c>
      <c r="H116" s="38" t="n">
        <f aca="false">SUM(H117:H121)</f>
        <v>0</v>
      </c>
      <c r="I116" s="38" t="n">
        <f aca="false">SUM(I117:I121)</f>
        <v>0</v>
      </c>
      <c r="J116" s="38" t="n">
        <f aca="false">SUM(J117:J121)</f>
        <v>0</v>
      </c>
      <c r="K116" s="38" t="n">
        <f aca="false">SUM(K117:K121)</f>
        <v>0</v>
      </c>
      <c r="L116" s="38" t="n">
        <f aca="false">SUM(L117:L121)</f>
        <v>0</v>
      </c>
      <c r="M116" s="38" t="n">
        <f aca="false">SUM(M117:M121)</f>
        <v>0</v>
      </c>
      <c r="N116" s="38" t="n">
        <f aca="false">SUM(N117:N121)</f>
        <v>0</v>
      </c>
      <c r="O116" s="38" t="n">
        <f aca="false">SUM(O117:O121)</f>
        <v>0</v>
      </c>
      <c r="P116" s="38" t="n">
        <f aca="false">SUM(P117:P121)</f>
        <v>0</v>
      </c>
      <c r="Q116" s="38"/>
      <c r="S116" s="63" t="n">
        <f aca="false">SUM(E116:P116)</f>
        <v>0</v>
      </c>
      <c r="T116" s="28"/>
    </row>
    <row r="117" s="6" customFormat="true" ht="18" hidden="false" customHeight="true" outlineLevel="1" collapsed="false">
      <c r="B117" s="11"/>
      <c r="C117" s="67" t="s">
        <v>116</v>
      </c>
      <c r="D117" s="54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7"/>
      <c r="S117" s="63" t="n">
        <f aca="false">SUM(E117:P117)</f>
        <v>0</v>
      </c>
      <c r="T117" s="28"/>
    </row>
    <row r="118" s="6" customFormat="true" ht="18" hidden="false" customHeight="true" outlineLevel="1" collapsed="false">
      <c r="B118" s="11"/>
      <c r="C118" s="67" t="s">
        <v>117</v>
      </c>
      <c r="D118" s="54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7"/>
      <c r="S118" s="63" t="n">
        <f aca="false">SUM(E118:P118)</f>
        <v>0</v>
      </c>
      <c r="T118" s="28"/>
    </row>
    <row r="119" s="6" customFormat="true" ht="18" hidden="false" customHeight="true" outlineLevel="1" collapsed="false">
      <c r="B119" s="11"/>
      <c r="C119" s="67" t="s">
        <v>118</v>
      </c>
      <c r="D119" s="54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7"/>
      <c r="S119" s="63" t="n">
        <f aca="false">SUM(E119:P119)</f>
        <v>0</v>
      </c>
      <c r="T119" s="28"/>
    </row>
    <row r="120" s="6" customFormat="true" ht="18" hidden="false" customHeight="true" outlineLevel="1" collapsed="false">
      <c r="B120" s="11"/>
      <c r="C120" s="67" t="s">
        <v>119</v>
      </c>
      <c r="D120" s="54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7"/>
      <c r="S120" s="63" t="n">
        <f aca="false">SUM(E120:P120)</f>
        <v>0</v>
      </c>
      <c r="T120" s="28"/>
    </row>
    <row r="121" s="6" customFormat="true" ht="18" hidden="false" customHeight="true" outlineLevel="1" collapsed="false">
      <c r="B121" s="11"/>
      <c r="C121" s="67" t="s">
        <v>120</v>
      </c>
      <c r="D121" s="54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7"/>
      <c r="S121" s="63" t="n">
        <f aca="false">SUM(E121:P121)</f>
        <v>0</v>
      </c>
      <c r="T121" s="28"/>
    </row>
    <row r="122" s="49" customFormat="true" ht="18" hidden="false" customHeight="true" outlineLevel="0" collapsed="false">
      <c r="B122" s="11" t="n">
        <v>5</v>
      </c>
      <c r="C122" s="72" t="s">
        <v>121</v>
      </c>
      <c r="D122" s="54"/>
      <c r="E122" s="38" t="n">
        <f aca="false">SUM(E123:E126)</f>
        <v>0</v>
      </c>
      <c r="F122" s="38" t="n">
        <f aca="false">SUM(F123:F126)</f>
        <v>0</v>
      </c>
      <c r="G122" s="38" t="n">
        <f aca="false">SUM(G123:G126)</f>
        <v>0</v>
      </c>
      <c r="H122" s="38" t="n">
        <f aca="false">SUM(H123:H126)</f>
        <v>0</v>
      </c>
      <c r="I122" s="38" t="n">
        <f aca="false">SUM(I123:I126)</f>
        <v>0</v>
      </c>
      <c r="J122" s="38" t="n">
        <f aca="false">SUM(J123:J126)</f>
        <v>0</v>
      </c>
      <c r="K122" s="38" t="n">
        <f aca="false">SUM(K123:K126)</f>
        <v>0</v>
      </c>
      <c r="L122" s="38" t="n">
        <f aca="false">SUM(L123:L126)</f>
        <v>0</v>
      </c>
      <c r="M122" s="38" t="n">
        <f aca="false">SUM(M123:M126)</f>
        <v>0</v>
      </c>
      <c r="N122" s="38" t="n">
        <f aca="false">SUM(N123:N126)</f>
        <v>0</v>
      </c>
      <c r="O122" s="38" t="n">
        <f aca="false">SUM(O123:O126)</f>
        <v>0</v>
      </c>
      <c r="P122" s="38" t="n">
        <f aca="false">SUM(P123:P126)</f>
        <v>0</v>
      </c>
      <c r="Q122" s="38"/>
      <c r="S122" s="63" t="n">
        <f aca="false">SUM(E122:P122)</f>
        <v>0</v>
      </c>
      <c r="T122" s="28"/>
    </row>
    <row r="123" s="6" customFormat="true" ht="18" hidden="false" customHeight="true" outlineLevel="1" collapsed="false">
      <c r="B123" s="11"/>
      <c r="C123" s="67" t="s">
        <v>122</v>
      </c>
      <c r="D123" s="54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7"/>
      <c r="S123" s="63" t="n">
        <f aca="false">SUM(E123:P123)</f>
        <v>0</v>
      </c>
      <c r="T123" s="28"/>
    </row>
    <row r="124" s="6" customFormat="true" ht="18" hidden="false" customHeight="true" outlineLevel="1" collapsed="false">
      <c r="B124" s="11"/>
      <c r="C124" s="67" t="s">
        <v>123</v>
      </c>
      <c r="D124" s="54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7"/>
      <c r="S124" s="63" t="n">
        <f aca="false">SUM(E124:P124)</f>
        <v>0</v>
      </c>
      <c r="T124" s="28"/>
    </row>
    <row r="125" s="6" customFormat="true" ht="18" hidden="false" customHeight="true" outlineLevel="1" collapsed="false">
      <c r="B125" s="11"/>
      <c r="C125" s="67" t="s">
        <v>124</v>
      </c>
      <c r="D125" s="54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7"/>
      <c r="S125" s="63" t="n">
        <f aca="false">SUM(E125:P125)</f>
        <v>0</v>
      </c>
      <c r="T125" s="28"/>
    </row>
    <row r="126" s="6" customFormat="true" ht="18" hidden="false" customHeight="true" outlineLevel="1" collapsed="false">
      <c r="B126" s="11"/>
      <c r="C126" s="67" t="s">
        <v>125</v>
      </c>
      <c r="D126" s="54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7"/>
      <c r="S126" s="63" t="n">
        <f aca="false">SUM(E126:P126)</f>
        <v>0</v>
      </c>
      <c r="T126" s="28"/>
    </row>
    <row r="127" s="49" customFormat="true" ht="18" hidden="false" customHeight="true" outlineLevel="0" collapsed="false">
      <c r="B127" s="11" t="n">
        <v>6</v>
      </c>
      <c r="C127" s="72" t="s">
        <v>126</v>
      </c>
      <c r="D127" s="54"/>
      <c r="E127" s="38" t="n">
        <f aca="false">SUM(E128:E131)</f>
        <v>0</v>
      </c>
      <c r="F127" s="38" t="n">
        <f aca="false">SUM(F128:F131)</f>
        <v>0</v>
      </c>
      <c r="G127" s="38" t="n">
        <f aca="false">SUM(G128:G131)</f>
        <v>0</v>
      </c>
      <c r="H127" s="38" t="n">
        <f aca="false">SUM(H128:H131)</f>
        <v>0</v>
      </c>
      <c r="I127" s="38" t="n">
        <f aca="false">SUM(I128:I131)</f>
        <v>0</v>
      </c>
      <c r="J127" s="38" t="n">
        <f aca="false">SUM(J128:J131)</f>
        <v>0</v>
      </c>
      <c r="K127" s="38" t="n">
        <f aca="false">SUM(K128:K131)</f>
        <v>0</v>
      </c>
      <c r="L127" s="38" t="n">
        <f aca="false">SUM(L128:L131)</f>
        <v>0</v>
      </c>
      <c r="M127" s="38" t="n">
        <f aca="false">SUM(M128:M131)</f>
        <v>0</v>
      </c>
      <c r="N127" s="38" t="n">
        <f aca="false">SUM(N128:N131)</f>
        <v>0</v>
      </c>
      <c r="O127" s="38" t="n">
        <f aca="false">SUM(O128:O131)</f>
        <v>0</v>
      </c>
      <c r="P127" s="38" t="n">
        <f aca="false">SUM(P128:P131)</f>
        <v>0</v>
      </c>
      <c r="Q127" s="38"/>
      <c r="S127" s="63" t="n">
        <f aca="false">SUM(E127:P127)</f>
        <v>0</v>
      </c>
      <c r="T127" s="28"/>
    </row>
    <row r="128" s="6" customFormat="true" ht="18" hidden="false" customHeight="true" outlineLevel="1" collapsed="false">
      <c r="B128" s="11"/>
      <c r="C128" s="67" t="s">
        <v>127</v>
      </c>
      <c r="D128" s="54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7"/>
      <c r="S128" s="63" t="n">
        <f aca="false">SUM(E128:P128)</f>
        <v>0</v>
      </c>
      <c r="T128" s="28"/>
    </row>
    <row r="129" s="6" customFormat="true" ht="18" hidden="false" customHeight="true" outlineLevel="1" collapsed="false">
      <c r="B129" s="11"/>
      <c r="C129" s="67" t="s">
        <v>128</v>
      </c>
      <c r="D129" s="54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7"/>
      <c r="S129" s="63" t="n">
        <f aca="false">SUM(E129:P129)</f>
        <v>0</v>
      </c>
      <c r="T129" s="28"/>
    </row>
    <row r="130" s="6" customFormat="true" ht="18" hidden="false" customHeight="true" outlineLevel="1" collapsed="false">
      <c r="B130" s="11"/>
      <c r="C130" s="67" t="s">
        <v>129</v>
      </c>
      <c r="D130" s="54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7"/>
      <c r="S130" s="63" t="n">
        <f aca="false">SUM(E130:P130)</f>
        <v>0</v>
      </c>
      <c r="T130" s="28"/>
    </row>
    <row r="131" s="6" customFormat="true" ht="18" hidden="false" customHeight="true" outlineLevel="1" collapsed="false">
      <c r="B131" s="11"/>
      <c r="C131" s="67" t="s">
        <v>130</v>
      </c>
      <c r="D131" s="54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7"/>
      <c r="S131" s="63" t="n">
        <f aca="false">SUM(E131:P131)</f>
        <v>0</v>
      </c>
      <c r="T131" s="28"/>
    </row>
    <row r="132" s="49" customFormat="true" ht="18" hidden="false" customHeight="true" outlineLevel="0" collapsed="false">
      <c r="B132" s="11" t="n">
        <v>7</v>
      </c>
      <c r="C132" s="72" t="s">
        <v>131</v>
      </c>
      <c r="D132" s="54"/>
      <c r="E132" s="38" t="n">
        <f aca="false">SUM(E133:E136)</f>
        <v>0</v>
      </c>
      <c r="F132" s="38" t="n">
        <f aca="false">SUM(F133:F136)</f>
        <v>0</v>
      </c>
      <c r="G132" s="38" t="n">
        <f aca="false">SUM(G133:G136)</f>
        <v>0</v>
      </c>
      <c r="H132" s="38" t="n">
        <f aca="false">SUM(H133:H136)</f>
        <v>0</v>
      </c>
      <c r="I132" s="38" t="n">
        <f aca="false">SUM(I133:I136)</f>
        <v>0</v>
      </c>
      <c r="J132" s="38" t="n">
        <f aca="false">SUM(J133:J136)</f>
        <v>0</v>
      </c>
      <c r="K132" s="38" t="n">
        <f aca="false">SUM(K133:K136)</f>
        <v>0</v>
      </c>
      <c r="L132" s="38" t="n">
        <f aca="false">SUM(L133:L136)</f>
        <v>0</v>
      </c>
      <c r="M132" s="38" t="n">
        <f aca="false">SUM(M133:M136)</f>
        <v>0</v>
      </c>
      <c r="N132" s="38" t="n">
        <f aca="false">SUM(N133:N136)</f>
        <v>0</v>
      </c>
      <c r="O132" s="38" t="n">
        <f aca="false">SUM(O133:O136)</f>
        <v>0</v>
      </c>
      <c r="P132" s="38" t="n">
        <f aca="false">SUM(P133:P136)</f>
        <v>0</v>
      </c>
      <c r="Q132" s="38"/>
      <c r="S132" s="63" t="n">
        <f aca="false">SUM(E132:P132)</f>
        <v>0</v>
      </c>
      <c r="T132" s="28"/>
    </row>
    <row r="133" s="6" customFormat="true" ht="18" hidden="false" customHeight="true" outlineLevel="1" collapsed="false">
      <c r="B133" s="11"/>
      <c r="C133" s="67" t="s">
        <v>132</v>
      </c>
      <c r="D133" s="54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7"/>
      <c r="S133" s="63" t="n">
        <f aca="false">SUM(E133:P133)</f>
        <v>0</v>
      </c>
      <c r="T133" s="28"/>
    </row>
    <row r="134" s="6" customFormat="true" ht="18" hidden="false" customHeight="true" outlineLevel="1" collapsed="false">
      <c r="B134" s="11"/>
      <c r="C134" s="67" t="s">
        <v>133</v>
      </c>
      <c r="D134" s="54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7"/>
      <c r="S134" s="63" t="n">
        <f aca="false">SUM(E134:P134)</f>
        <v>0</v>
      </c>
      <c r="T134" s="28"/>
    </row>
    <row r="135" s="6" customFormat="true" ht="18" hidden="false" customHeight="true" outlineLevel="1" collapsed="false">
      <c r="B135" s="11"/>
      <c r="C135" s="67" t="s">
        <v>134</v>
      </c>
      <c r="D135" s="54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7"/>
      <c r="S135" s="63" t="n">
        <f aca="false">SUM(E135:P135)</f>
        <v>0</v>
      </c>
      <c r="T135" s="28"/>
    </row>
    <row r="136" s="6" customFormat="true" ht="18" hidden="false" customHeight="true" outlineLevel="1" collapsed="false">
      <c r="B136" s="11"/>
      <c r="C136" s="67" t="s">
        <v>135</v>
      </c>
      <c r="D136" s="54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7"/>
      <c r="S136" s="63" t="n">
        <f aca="false">SUM(E136:P136)</f>
        <v>0</v>
      </c>
      <c r="T136" s="28"/>
    </row>
    <row r="137" s="6" customFormat="true" ht="18" hidden="false" customHeight="true" outlineLevel="1" collapsed="false">
      <c r="B137" s="11" t="n">
        <v>8</v>
      </c>
      <c r="C137" s="68" t="s">
        <v>136</v>
      </c>
      <c r="D137" s="54"/>
      <c r="E137" s="38" t="n">
        <f aca="false">SUM(E138:E143)</f>
        <v>0</v>
      </c>
      <c r="F137" s="38" t="n">
        <f aca="false">SUM(F138:F143)</f>
        <v>0</v>
      </c>
      <c r="G137" s="38" t="n">
        <f aca="false">SUM(G138:G143)</f>
        <v>0</v>
      </c>
      <c r="H137" s="38" t="n">
        <f aca="false">SUM(H138:H143)</f>
        <v>0</v>
      </c>
      <c r="I137" s="38" t="n">
        <f aca="false">SUM(I138:I143)</f>
        <v>0</v>
      </c>
      <c r="J137" s="38" t="n">
        <f aca="false">SUM(J138:J143)</f>
        <v>0</v>
      </c>
      <c r="K137" s="38" t="n">
        <f aca="false">SUM(K138:K143)</f>
        <v>0</v>
      </c>
      <c r="L137" s="38" t="n">
        <f aca="false">SUM(L138:L143)</f>
        <v>0</v>
      </c>
      <c r="M137" s="38" t="n">
        <f aca="false">SUM(M138:M143)</f>
        <v>0</v>
      </c>
      <c r="N137" s="38" t="n">
        <f aca="false">SUM(N138:N143)</f>
        <v>0</v>
      </c>
      <c r="O137" s="38" t="n">
        <f aca="false">SUM(O138:O143)</f>
        <v>0</v>
      </c>
      <c r="P137" s="38" t="n">
        <f aca="false">SUM(P138:P143)</f>
        <v>0</v>
      </c>
      <c r="Q137" s="38"/>
      <c r="S137" s="63" t="n">
        <f aca="false">SUM(E137:P137)</f>
        <v>0</v>
      </c>
      <c r="T137" s="28"/>
    </row>
    <row r="138" s="6" customFormat="true" ht="18" hidden="false" customHeight="true" outlineLevel="1" collapsed="false">
      <c r="B138" s="11"/>
      <c r="C138" s="67" t="s">
        <v>137</v>
      </c>
      <c r="D138" s="54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7"/>
      <c r="S138" s="63" t="n">
        <f aca="false">SUM(E138:P138)</f>
        <v>0</v>
      </c>
      <c r="T138" s="28"/>
    </row>
    <row r="139" s="6" customFormat="true" ht="18" hidden="false" customHeight="true" outlineLevel="1" collapsed="false">
      <c r="B139" s="11"/>
      <c r="C139" s="67" t="s">
        <v>138</v>
      </c>
      <c r="D139" s="54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7"/>
      <c r="S139" s="63" t="n">
        <f aca="false">SUM(E139:P139)</f>
        <v>0</v>
      </c>
      <c r="T139" s="28"/>
    </row>
    <row r="140" s="6" customFormat="true" ht="18" hidden="false" customHeight="true" outlineLevel="1" collapsed="false">
      <c r="B140" s="11"/>
      <c r="C140" s="67" t="s">
        <v>139</v>
      </c>
      <c r="D140" s="54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7"/>
      <c r="S140" s="63" t="n">
        <f aca="false">SUM(E140:P140)</f>
        <v>0</v>
      </c>
      <c r="T140" s="28"/>
    </row>
    <row r="141" s="6" customFormat="true" ht="18" hidden="false" customHeight="true" outlineLevel="1" collapsed="false">
      <c r="B141" s="11"/>
      <c r="C141" s="67" t="s">
        <v>140</v>
      </c>
      <c r="D141" s="54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7"/>
      <c r="S141" s="63" t="n">
        <f aca="false">SUM(E141:P141)</f>
        <v>0</v>
      </c>
      <c r="T141" s="28"/>
    </row>
    <row r="142" s="6" customFormat="true" ht="18" hidden="false" customHeight="true" outlineLevel="1" collapsed="false">
      <c r="B142" s="11"/>
      <c r="C142" s="67" t="s">
        <v>141</v>
      </c>
      <c r="D142" s="54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7"/>
      <c r="S142" s="63" t="n">
        <f aca="false">SUM(E142:P142)</f>
        <v>0</v>
      </c>
      <c r="T142" s="28"/>
    </row>
    <row r="143" s="6" customFormat="true" ht="18" hidden="false" customHeight="true" outlineLevel="1" collapsed="false">
      <c r="B143" s="11"/>
      <c r="C143" s="67" t="s">
        <v>142</v>
      </c>
      <c r="D143" s="54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7"/>
      <c r="S143" s="63" t="n">
        <f aca="false">SUM(E143:P143)</f>
        <v>0</v>
      </c>
      <c r="T143" s="28"/>
    </row>
    <row r="144" s="6" customFormat="true" ht="18" hidden="false" customHeight="true" outlineLevel="1" collapsed="false">
      <c r="B144" s="11"/>
      <c r="C144" s="67"/>
      <c r="D144" s="54"/>
      <c r="E144" s="37" t="n">
        <v>0</v>
      </c>
      <c r="F144" s="37" t="n">
        <v>0</v>
      </c>
      <c r="G144" s="37" t="n">
        <v>0</v>
      </c>
      <c r="H144" s="37" t="n">
        <v>0</v>
      </c>
      <c r="I144" s="37" t="n">
        <v>0</v>
      </c>
      <c r="J144" s="37" t="n">
        <v>0</v>
      </c>
      <c r="K144" s="37" t="n">
        <v>0</v>
      </c>
      <c r="L144" s="37" t="n">
        <v>0</v>
      </c>
      <c r="M144" s="37" t="n">
        <v>0</v>
      </c>
      <c r="N144" s="37" t="n">
        <v>0</v>
      </c>
      <c r="O144" s="37" t="n">
        <v>0</v>
      </c>
      <c r="P144" s="37" t="n">
        <v>0</v>
      </c>
      <c r="Q144" s="37"/>
      <c r="S144" s="63" t="n">
        <f aca="false">SUM(E144:P144)</f>
        <v>0</v>
      </c>
      <c r="T144" s="28"/>
    </row>
    <row r="145" s="49" customFormat="true" ht="20.25" hidden="false" customHeight="true" outlineLevel="0" collapsed="false">
      <c r="B145" s="11" t="n">
        <v>9</v>
      </c>
      <c r="C145" s="72" t="s">
        <v>143</v>
      </c>
      <c r="D145" s="54"/>
      <c r="E145" s="38" t="n">
        <f aca="false">SUM(E146:E151)</f>
        <v>0</v>
      </c>
      <c r="F145" s="38" t="n">
        <f aca="false">SUM(F146:F151)</f>
        <v>0</v>
      </c>
      <c r="G145" s="38" t="n">
        <f aca="false">SUM(G146:G151)</f>
        <v>0</v>
      </c>
      <c r="H145" s="38" t="n">
        <f aca="false">SUM(H146:H151)</f>
        <v>0</v>
      </c>
      <c r="I145" s="38" t="n">
        <f aca="false">SUM(I146:I151)</f>
        <v>0</v>
      </c>
      <c r="J145" s="38" t="n">
        <f aca="false">SUM(J146:J151)</f>
        <v>0</v>
      </c>
      <c r="K145" s="38" t="n">
        <f aca="false">SUM(K146:K151)</f>
        <v>0</v>
      </c>
      <c r="L145" s="38" t="n">
        <f aca="false">SUM(L146:L151)</f>
        <v>0</v>
      </c>
      <c r="M145" s="38" t="n">
        <f aca="false">SUM(M146:M151)</f>
        <v>0</v>
      </c>
      <c r="N145" s="38" t="n">
        <f aca="false">SUM(N146:N151)</f>
        <v>0</v>
      </c>
      <c r="O145" s="38" t="n">
        <f aca="false">SUM(O146:O151)</f>
        <v>0</v>
      </c>
      <c r="P145" s="38" t="n">
        <f aca="false">SUM(P146:P151)</f>
        <v>0</v>
      </c>
      <c r="Q145" s="38"/>
      <c r="S145" s="63" t="n">
        <f aca="false">SUM(E145:P145)</f>
        <v>0</v>
      </c>
      <c r="T145" s="28"/>
    </row>
    <row r="146" s="6" customFormat="true" ht="18" hidden="false" customHeight="true" outlineLevel="1" collapsed="false">
      <c r="B146" s="11"/>
      <c r="C146" s="67" t="s">
        <v>144</v>
      </c>
      <c r="D146" s="54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7"/>
      <c r="S146" s="63" t="n">
        <f aca="false">SUM(E146:P146)</f>
        <v>0</v>
      </c>
      <c r="T146" s="28"/>
    </row>
    <row r="147" s="6" customFormat="true" ht="18" hidden="false" customHeight="true" outlineLevel="1" collapsed="false">
      <c r="B147" s="11"/>
      <c r="C147" s="67" t="s">
        <v>145</v>
      </c>
      <c r="D147" s="54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7"/>
      <c r="S147" s="63" t="n">
        <f aca="false">SUM(E147:P147)</f>
        <v>0</v>
      </c>
      <c r="T147" s="28"/>
    </row>
    <row r="148" s="6" customFormat="true" ht="18" hidden="false" customHeight="true" outlineLevel="1" collapsed="false">
      <c r="B148" s="11"/>
      <c r="C148" s="67" t="s">
        <v>146</v>
      </c>
      <c r="D148" s="54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7"/>
      <c r="S148" s="63" t="n">
        <f aca="false">SUM(E148:P148)</f>
        <v>0</v>
      </c>
      <c r="T148" s="28"/>
    </row>
    <row r="149" s="6" customFormat="true" ht="18" hidden="false" customHeight="true" outlineLevel="1" collapsed="false">
      <c r="B149" s="11"/>
      <c r="C149" s="73" t="s">
        <v>147</v>
      </c>
      <c r="D149" s="54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7"/>
      <c r="S149" s="63" t="n">
        <f aca="false">SUM(E149:P149)</f>
        <v>0</v>
      </c>
      <c r="T149" s="28"/>
    </row>
    <row r="150" s="6" customFormat="true" ht="18" hidden="false" customHeight="true" outlineLevel="1" collapsed="false">
      <c r="B150" s="11"/>
      <c r="C150" s="73" t="s">
        <v>148</v>
      </c>
      <c r="D150" s="54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7"/>
      <c r="S150" s="63" t="n">
        <f aca="false">SUM(E150:P150)</f>
        <v>0</v>
      </c>
      <c r="T150" s="28"/>
    </row>
    <row r="151" s="6" customFormat="true" ht="18" hidden="false" customHeight="true" outlineLevel="1" collapsed="false">
      <c r="B151" s="11"/>
      <c r="C151" s="67" t="s">
        <v>149</v>
      </c>
      <c r="D151" s="54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7"/>
      <c r="S151" s="63" t="n">
        <f aca="false">SUM(E151:P151)</f>
        <v>0</v>
      </c>
      <c r="T151" s="28"/>
    </row>
    <row r="152" s="6" customFormat="true" ht="18" hidden="false" customHeight="true" outlineLevel="0" collapsed="false">
      <c r="B152" s="11"/>
      <c r="C152" s="74" t="s">
        <v>150</v>
      </c>
      <c r="D152" s="54"/>
      <c r="E152" s="75" t="n">
        <f aca="false">SUM(E84,E99,E103,E116,E122,E127,E132,E137,E145)</f>
        <v>0</v>
      </c>
      <c r="F152" s="75" t="n">
        <f aca="false">SUM(F84,F99,F103,F116,F122,F127,F132,F137,F145)</f>
        <v>0</v>
      </c>
      <c r="G152" s="75" t="n">
        <f aca="false">SUM(G84,G99,G103,G116,G122,G127,G132,G137,G145)</f>
        <v>0</v>
      </c>
      <c r="H152" s="75" t="n">
        <f aca="false">SUM(H84,H99,H103,H116,H122,H127,H132,H137,H145)</f>
        <v>0</v>
      </c>
      <c r="I152" s="75" t="n">
        <f aca="false">SUM(I84,I99,I103,I116,I122,I127,I132,I137,I145)</f>
        <v>0</v>
      </c>
      <c r="J152" s="75" t="n">
        <f aca="false">SUM(J84,J99,J103,J116,J122,J127,J132,J137,J145)</f>
        <v>0</v>
      </c>
      <c r="K152" s="75" t="n">
        <f aca="false">SUM(K84,K99,K103,K116,K122,K127,K132,K137,K145)</f>
        <v>0</v>
      </c>
      <c r="L152" s="75" t="n">
        <f aca="false">SUM(L84,L99,L103,L116,L122,L127,L132,L137,L145)</f>
        <v>0</v>
      </c>
      <c r="M152" s="75" t="n">
        <f aca="false">SUM(M84,M99,M103,M116,M122,M127,M132,M137,M145)</f>
        <v>0</v>
      </c>
      <c r="N152" s="75" t="n">
        <f aca="false">SUM(N84,N99,N103,N116,N122,N127,N132,N137,N145)</f>
        <v>0</v>
      </c>
      <c r="O152" s="75" t="n">
        <f aca="false">SUM(O84,O99,O103,O116,O122,O127,O132,O137,O145)</f>
        <v>0</v>
      </c>
      <c r="P152" s="75" t="n">
        <f aca="false">SUM(P84,P99,P103,P116,P122,P127,P132,P137,P145)</f>
        <v>0</v>
      </c>
      <c r="Q152" s="75"/>
      <c r="S152" s="63" t="n">
        <f aca="false">SUM(E152:P152)</f>
        <v>0</v>
      </c>
      <c r="T152" s="28" t="n">
        <f aca="false">S152-S84</f>
        <v>0</v>
      </c>
      <c r="V152" s="76"/>
    </row>
    <row r="153" s="57" customFormat="true" ht="18" hidden="false" customHeight="true" outlineLevel="0" collapsed="false">
      <c r="B153" s="58"/>
      <c r="C153" s="62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S153" s="77"/>
      <c r="T153" s="28"/>
      <c r="V153" s="78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  <c r="BP153" s="79"/>
      <c r="BQ153" s="79"/>
      <c r="BR153" s="79"/>
      <c r="BS153" s="79"/>
      <c r="BT153" s="79"/>
      <c r="BU153" s="79"/>
      <c r="BV153" s="79"/>
      <c r="BW153" s="79"/>
      <c r="BX153" s="79"/>
      <c r="BY153" s="79"/>
      <c r="BZ153" s="79"/>
    </row>
    <row r="154" s="6" customFormat="true" ht="18" hidden="false" customHeight="true" outlineLevel="0" collapsed="false">
      <c r="B154" s="11"/>
      <c r="C154" s="80" t="s">
        <v>151</v>
      </c>
      <c r="D154" s="54"/>
      <c r="E154" s="46" t="n">
        <f aca="false">SUM(E22,E78,E152)</f>
        <v>0</v>
      </c>
      <c r="F154" s="46" t="n">
        <f aca="false">SUM(F22,F78,F152)</f>
        <v>0</v>
      </c>
      <c r="G154" s="46" t="n">
        <f aca="false">SUM(G22,G78,G152)</f>
        <v>0</v>
      </c>
      <c r="H154" s="46" t="n">
        <f aca="false">SUM(H22,H78,H152)</f>
        <v>0</v>
      </c>
      <c r="I154" s="46" t="n">
        <f aca="false">SUM(I22,I78,I152)</f>
        <v>0</v>
      </c>
      <c r="J154" s="46" t="n">
        <f aca="false">SUM(J22,J78,J152)</f>
        <v>0</v>
      </c>
      <c r="K154" s="46" t="n">
        <f aca="false">SUM(K22,K78,K152)</f>
        <v>0</v>
      </c>
      <c r="L154" s="46" t="n">
        <f aca="false">SUM(L22,L78,L152)</f>
        <v>0</v>
      </c>
      <c r="M154" s="46" t="n">
        <f aca="false">SUM(M22,M78,M152)</f>
        <v>0</v>
      </c>
      <c r="N154" s="46" t="n">
        <f aca="false">SUM(N22,N78,N152)</f>
        <v>0</v>
      </c>
      <c r="O154" s="46" t="n">
        <f aca="false">SUM(O22,O78,O152)</f>
        <v>0</v>
      </c>
      <c r="P154" s="46" t="n">
        <f aca="false">SUM(P22,P78,P152)</f>
        <v>0</v>
      </c>
      <c r="Q154" s="46"/>
      <c r="S154" s="46" t="n">
        <f aca="false">SUM(E154:P154)</f>
        <v>0</v>
      </c>
      <c r="T154" s="28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  <c r="BP154" s="79"/>
      <c r="BQ154" s="79"/>
      <c r="BR154" s="79"/>
      <c r="BS154" s="79"/>
      <c r="BT154" s="79"/>
      <c r="BU154" s="79"/>
      <c r="BV154" s="79"/>
      <c r="BW154" s="79"/>
      <c r="BX154" s="79"/>
      <c r="BY154" s="79"/>
      <c r="BZ154" s="79"/>
    </row>
    <row r="155" s="57" customFormat="true" ht="18" hidden="false" customHeight="true" outlineLevel="0" collapsed="false">
      <c r="B155" s="58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S155" s="81"/>
      <c r="T155" s="28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9"/>
      <c r="BG155" s="79"/>
      <c r="BH155" s="79"/>
      <c r="BI155" s="79"/>
      <c r="BJ155" s="79"/>
      <c r="BK155" s="79"/>
      <c r="BL155" s="79"/>
      <c r="BM155" s="79"/>
      <c r="BN155" s="79"/>
      <c r="BO155" s="79"/>
      <c r="BP155" s="79"/>
      <c r="BQ155" s="79"/>
      <c r="BR155" s="79"/>
      <c r="BS155" s="79"/>
      <c r="BT155" s="79"/>
      <c r="BU155" s="79"/>
      <c r="BV155" s="79"/>
      <c r="BW155" s="79"/>
      <c r="BX155" s="79"/>
      <c r="BY155" s="79"/>
      <c r="BZ155" s="79"/>
    </row>
    <row r="156" s="57" customFormat="true" ht="18" hidden="false" customHeight="true" outlineLevel="0" collapsed="false">
      <c r="B156" s="58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S156" s="81"/>
      <c r="T156" s="28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</row>
    <row r="157" s="6" customFormat="true" ht="18" hidden="false" customHeight="true" outlineLevel="0" collapsed="false">
      <c r="B157" s="11" t="s">
        <v>152</v>
      </c>
      <c r="C157" s="82" t="s">
        <v>153</v>
      </c>
      <c r="D157" s="54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S157" s="83"/>
      <c r="T157" s="28"/>
    </row>
    <row r="158" s="6" customFormat="true" ht="18" hidden="false" customHeight="true" outlineLevel="0" collapsed="false">
      <c r="B158" s="11" t="n">
        <v>1</v>
      </c>
      <c r="C158" s="84" t="s">
        <v>154</v>
      </c>
      <c r="D158" s="54"/>
      <c r="E158" s="85" t="n">
        <f aca="false">SUM(E159:E163)</f>
        <v>0</v>
      </c>
      <c r="F158" s="85" t="n">
        <f aca="false">SUM(F159:F163)</f>
        <v>0</v>
      </c>
      <c r="G158" s="85" t="n">
        <f aca="false">SUM(G159:G163)</f>
        <v>0</v>
      </c>
      <c r="H158" s="85" t="n">
        <f aca="false">SUM(H159:H163)</f>
        <v>0</v>
      </c>
      <c r="I158" s="85" t="n">
        <f aca="false">SUM(I159:I163)</f>
        <v>0</v>
      </c>
      <c r="J158" s="85" t="n">
        <f aca="false">SUM(J159:J163)</f>
        <v>0</v>
      </c>
      <c r="K158" s="85" t="n">
        <f aca="false">SUM(K159:K163)</f>
        <v>0</v>
      </c>
      <c r="L158" s="85" t="n">
        <f aca="false">SUM(L159:L163)</f>
        <v>0</v>
      </c>
      <c r="M158" s="85" t="n">
        <f aca="false">SUM(M159:M163)</f>
        <v>0</v>
      </c>
      <c r="N158" s="85" t="n">
        <f aca="false">SUM(N159:N163)</f>
        <v>0</v>
      </c>
      <c r="O158" s="85" t="n">
        <f aca="false">SUM(O159:O163)</f>
        <v>0</v>
      </c>
      <c r="P158" s="85" t="n">
        <f aca="false">SUM(P159:P163)</f>
        <v>0</v>
      </c>
      <c r="Q158" s="85"/>
      <c r="S158" s="33" t="n">
        <f aca="false">SUM(E158:P158)</f>
        <v>0</v>
      </c>
      <c r="T158" s="28"/>
    </row>
    <row r="159" s="6" customFormat="true" ht="18" hidden="false" customHeight="true" outlineLevel="1" collapsed="false">
      <c r="B159" s="11"/>
      <c r="C159" s="67" t="s">
        <v>155</v>
      </c>
      <c r="D159" s="54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S159" s="33" t="n">
        <f aca="false">SUM(E159:P159)</f>
        <v>0</v>
      </c>
      <c r="T159" s="28"/>
    </row>
    <row r="160" s="6" customFormat="true" ht="18" hidden="false" customHeight="true" outlineLevel="1" collapsed="false">
      <c r="B160" s="11"/>
      <c r="C160" s="67" t="s">
        <v>156</v>
      </c>
      <c r="D160" s="54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S160" s="33" t="n">
        <f aca="false">SUM(E160:P160)</f>
        <v>0</v>
      </c>
      <c r="T160" s="28"/>
    </row>
    <row r="161" s="6" customFormat="true" ht="18" hidden="false" customHeight="true" outlineLevel="1" collapsed="false">
      <c r="B161" s="11"/>
      <c r="C161" s="67" t="s">
        <v>157</v>
      </c>
      <c r="D161" s="54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S161" s="33" t="n">
        <f aca="false">SUM(E161:P161)</f>
        <v>0</v>
      </c>
      <c r="T161" s="28"/>
    </row>
    <row r="162" s="6" customFormat="true" ht="18" hidden="false" customHeight="true" outlineLevel="1" collapsed="false">
      <c r="B162" s="11"/>
      <c r="C162" s="67" t="s">
        <v>158</v>
      </c>
      <c r="D162" s="54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S162" s="33" t="n">
        <f aca="false">SUM(E162:P162)</f>
        <v>0</v>
      </c>
      <c r="T162" s="28"/>
    </row>
    <row r="163" s="6" customFormat="true" ht="18" hidden="false" customHeight="true" outlineLevel="1" collapsed="false">
      <c r="B163" s="11"/>
      <c r="C163" s="67" t="s">
        <v>159</v>
      </c>
      <c r="D163" s="54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S163" s="33" t="n">
        <f aca="false">SUM(E163:P163)</f>
        <v>0</v>
      </c>
      <c r="T163" s="28"/>
    </row>
    <row r="164" s="6" customFormat="true" ht="18" hidden="false" customHeight="true" outlineLevel="0" collapsed="false">
      <c r="B164" s="11"/>
      <c r="C164" s="86" t="s">
        <v>160</v>
      </c>
      <c r="D164" s="54"/>
      <c r="E164" s="87" t="n">
        <f aca="false">SUM(E158)</f>
        <v>0</v>
      </c>
      <c r="F164" s="87" t="n">
        <f aca="false">SUM(F158)</f>
        <v>0</v>
      </c>
      <c r="G164" s="87" t="n">
        <f aca="false">SUM(G158)</f>
        <v>0</v>
      </c>
      <c r="H164" s="87" t="n">
        <f aca="false">SUM(H158)</f>
        <v>0</v>
      </c>
      <c r="I164" s="87" t="n">
        <f aca="false">SUM(I158)</f>
        <v>0</v>
      </c>
      <c r="J164" s="87" t="n">
        <f aca="false">SUM(J158)</f>
        <v>0</v>
      </c>
      <c r="K164" s="87" t="n">
        <f aca="false">SUM(K158)</f>
        <v>0</v>
      </c>
      <c r="L164" s="87" t="n">
        <f aca="false">SUM(L158)</f>
        <v>0</v>
      </c>
      <c r="M164" s="87" t="n">
        <f aca="false">SUM(M158)</f>
        <v>0</v>
      </c>
      <c r="N164" s="87" t="n">
        <f aca="false">SUM(N158)</f>
        <v>0</v>
      </c>
      <c r="O164" s="87" t="n">
        <f aca="false">SUM(O158)</f>
        <v>0</v>
      </c>
      <c r="P164" s="87" t="n">
        <f aca="false">SUM(P158)</f>
        <v>0</v>
      </c>
      <c r="Q164" s="87"/>
      <c r="S164" s="33" t="n">
        <f aca="false">SUM(E164:P164)</f>
        <v>0</v>
      </c>
      <c r="T164" s="28"/>
    </row>
    <row r="165" s="6" customFormat="true" ht="18" hidden="false" customHeight="true" outlineLevel="0" collapsed="false"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S165" s="88"/>
      <c r="T165" s="28"/>
    </row>
    <row r="166" s="6" customFormat="true" ht="18" hidden="false" customHeight="true" outlineLevel="0" collapsed="false">
      <c r="B166" s="11" t="n">
        <v>2</v>
      </c>
      <c r="C166" s="89" t="s">
        <v>161</v>
      </c>
      <c r="D166" s="54"/>
      <c r="E166" s="90" t="n">
        <f aca="false">SUM(E167:E172)</f>
        <v>0</v>
      </c>
      <c r="F166" s="90" t="n">
        <f aca="false">SUM(F167:F172)</f>
        <v>0</v>
      </c>
      <c r="G166" s="90" t="n">
        <f aca="false">SUM(G167:G172)</f>
        <v>0</v>
      </c>
      <c r="H166" s="90" t="n">
        <f aca="false">SUM(H167:H172)</f>
        <v>0</v>
      </c>
      <c r="I166" s="90" t="n">
        <f aca="false">SUM(I167:I172)</f>
        <v>0</v>
      </c>
      <c r="J166" s="90" t="n">
        <f aca="false">SUM(J167:J172)</f>
        <v>0</v>
      </c>
      <c r="K166" s="90" t="n">
        <f aca="false">SUM(K167:K172)</f>
        <v>0</v>
      </c>
      <c r="L166" s="90" t="n">
        <f aca="false">SUM(L167:L172)</f>
        <v>0</v>
      </c>
      <c r="M166" s="90" t="n">
        <f aca="false">SUM(M167:M172)</f>
        <v>0</v>
      </c>
      <c r="N166" s="90" t="n">
        <f aca="false">SUM(N167:N172)</f>
        <v>0</v>
      </c>
      <c r="O166" s="90" t="n">
        <f aca="false">SUM(O167:O172)</f>
        <v>0</v>
      </c>
      <c r="P166" s="90" t="n">
        <f aca="false">SUM(P167:P172)</f>
        <v>0</v>
      </c>
      <c r="Q166" s="83"/>
      <c r="S166" s="90" t="n">
        <f aca="false">SUM(E166:P166)</f>
        <v>0</v>
      </c>
      <c r="T166" s="28"/>
    </row>
    <row r="167" s="6" customFormat="true" ht="18" hidden="false" customHeight="true" outlineLevel="1" collapsed="false">
      <c r="B167" s="11"/>
      <c r="C167" s="91" t="s">
        <v>162</v>
      </c>
      <c r="D167" s="54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85"/>
      <c r="S167" s="33" t="n">
        <f aca="false">SUM(E167:P167)</f>
        <v>0</v>
      </c>
      <c r="T167" s="28"/>
    </row>
    <row r="168" s="6" customFormat="true" ht="18" hidden="false" customHeight="true" outlineLevel="1" collapsed="false">
      <c r="B168" s="11"/>
      <c r="C168" s="67" t="s">
        <v>163</v>
      </c>
      <c r="D168" s="54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7"/>
      <c r="S168" s="33" t="n">
        <f aca="false">SUM(E168:P168)</f>
        <v>0</v>
      </c>
      <c r="T168" s="28"/>
    </row>
    <row r="169" s="6" customFormat="true" ht="18" hidden="false" customHeight="true" outlineLevel="1" collapsed="false">
      <c r="B169" s="11"/>
      <c r="C169" s="67" t="s">
        <v>164</v>
      </c>
      <c r="D169" s="54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7"/>
      <c r="S169" s="33" t="n">
        <f aca="false">SUM(E169:P169)</f>
        <v>0</v>
      </c>
      <c r="T169" s="28"/>
    </row>
    <row r="170" s="6" customFormat="true" ht="18" hidden="false" customHeight="true" outlineLevel="1" collapsed="false">
      <c r="B170" s="11"/>
      <c r="C170" s="67" t="s">
        <v>165</v>
      </c>
      <c r="D170" s="54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7"/>
      <c r="S170" s="33" t="n">
        <f aca="false">SUM(E170:P170)</f>
        <v>0</v>
      </c>
      <c r="T170" s="28"/>
    </row>
    <row r="171" s="6" customFormat="true" ht="18" hidden="false" customHeight="true" outlineLevel="1" collapsed="false">
      <c r="B171" s="93"/>
      <c r="C171" s="67" t="s">
        <v>166</v>
      </c>
      <c r="D171" s="54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7"/>
      <c r="S171" s="33" t="n">
        <f aca="false">SUM(E171:P171)</f>
        <v>0</v>
      </c>
      <c r="T171" s="28"/>
    </row>
    <row r="172" s="6" customFormat="true" ht="18" hidden="false" customHeight="true" outlineLevel="1" collapsed="false">
      <c r="B172" s="93"/>
      <c r="C172" s="67" t="s">
        <v>167</v>
      </c>
      <c r="D172" s="54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7"/>
      <c r="S172" s="33" t="n">
        <f aca="false">SUM(E172:P172)</f>
        <v>0</v>
      </c>
      <c r="T172" s="28"/>
    </row>
    <row r="173" s="6" customFormat="true" ht="18" hidden="false" customHeight="true" outlineLevel="1" collapsed="false">
      <c r="B173" s="11"/>
      <c r="C173" s="67"/>
      <c r="D173" s="54"/>
      <c r="E173" s="37" t="n">
        <v>0</v>
      </c>
      <c r="F173" s="37" t="n">
        <v>0</v>
      </c>
      <c r="G173" s="37" t="n">
        <v>0</v>
      </c>
      <c r="H173" s="37" t="n">
        <v>0</v>
      </c>
      <c r="I173" s="37" t="n">
        <v>0</v>
      </c>
      <c r="J173" s="37" t="n">
        <v>0</v>
      </c>
      <c r="K173" s="37" t="n">
        <v>0</v>
      </c>
      <c r="L173" s="37" t="n">
        <v>0</v>
      </c>
      <c r="M173" s="37" t="n">
        <v>0</v>
      </c>
      <c r="N173" s="37" t="n">
        <v>0</v>
      </c>
      <c r="O173" s="37" t="n">
        <v>0</v>
      </c>
      <c r="P173" s="37" t="n">
        <v>0</v>
      </c>
      <c r="Q173" s="37"/>
      <c r="S173" s="33" t="n">
        <f aca="false">SUM(E173:P173)</f>
        <v>0</v>
      </c>
      <c r="T173" s="28"/>
    </row>
    <row r="174" s="6" customFormat="true" ht="18" hidden="false" customHeight="true" outlineLevel="1" collapsed="false">
      <c r="B174" s="11"/>
      <c r="C174" s="67"/>
      <c r="D174" s="54"/>
      <c r="E174" s="37" t="n">
        <v>0</v>
      </c>
      <c r="F174" s="37" t="n">
        <v>0</v>
      </c>
      <c r="G174" s="37" t="n">
        <v>0</v>
      </c>
      <c r="H174" s="37" t="n">
        <v>0</v>
      </c>
      <c r="I174" s="37" t="n">
        <v>0</v>
      </c>
      <c r="J174" s="37" t="n">
        <v>0</v>
      </c>
      <c r="K174" s="37" t="n">
        <v>0</v>
      </c>
      <c r="L174" s="37" t="n">
        <v>0</v>
      </c>
      <c r="M174" s="37" t="n">
        <v>0</v>
      </c>
      <c r="N174" s="37" t="n">
        <v>0</v>
      </c>
      <c r="O174" s="37" t="n">
        <v>0</v>
      </c>
      <c r="P174" s="37" t="n">
        <v>0</v>
      </c>
      <c r="Q174" s="37"/>
      <c r="S174" s="33" t="n">
        <f aca="false">SUM(E174:P174)</f>
        <v>0</v>
      </c>
      <c r="T174" s="28"/>
    </row>
    <row r="175" s="6" customFormat="true" ht="18" hidden="false" customHeight="true" outlineLevel="1" collapsed="false">
      <c r="B175" s="11"/>
      <c r="C175" s="67"/>
      <c r="D175" s="54"/>
      <c r="E175" s="37" t="n">
        <v>0</v>
      </c>
      <c r="F175" s="37" t="n">
        <v>0</v>
      </c>
      <c r="G175" s="37" t="n">
        <v>0</v>
      </c>
      <c r="H175" s="37" t="n">
        <v>0</v>
      </c>
      <c r="I175" s="37" t="n">
        <v>0</v>
      </c>
      <c r="J175" s="37" t="n">
        <v>0</v>
      </c>
      <c r="K175" s="37" t="n">
        <v>0</v>
      </c>
      <c r="L175" s="37" t="n">
        <v>0</v>
      </c>
      <c r="M175" s="37" t="n">
        <v>0</v>
      </c>
      <c r="N175" s="37" t="n">
        <v>0</v>
      </c>
      <c r="O175" s="37" t="n">
        <v>0</v>
      </c>
      <c r="P175" s="37" t="n">
        <v>0</v>
      </c>
      <c r="Q175" s="37"/>
      <c r="S175" s="33" t="n">
        <f aca="false">SUM(E175:P175)</f>
        <v>0</v>
      </c>
      <c r="T175" s="28"/>
    </row>
    <row r="176" s="6" customFormat="true" ht="18" hidden="false" customHeight="true" outlineLevel="0" collapsed="false">
      <c r="B176" s="11"/>
      <c r="C176" s="86" t="s">
        <v>168</v>
      </c>
      <c r="D176" s="54"/>
      <c r="E176" s="38" t="n">
        <f aca="false">SUM(E166)</f>
        <v>0</v>
      </c>
      <c r="F176" s="38" t="n">
        <f aca="false">SUM(F166)</f>
        <v>0</v>
      </c>
      <c r="G176" s="38" t="n">
        <f aca="false">SUM(G166)</f>
        <v>0</v>
      </c>
      <c r="H176" s="38" t="n">
        <f aca="false">SUM(H166)</f>
        <v>0</v>
      </c>
      <c r="I176" s="38" t="n">
        <f aca="false">SUM(I166)</f>
        <v>0</v>
      </c>
      <c r="J176" s="38" t="n">
        <f aca="false">SUM(J166)</f>
        <v>0</v>
      </c>
      <c r="K176" s="38" t="n">
        <f aca="false">SUM(K166)</f>
        <v>0</v>
      </c>
      <c r="L176" s="38" t="n">
        <f aca="false">SUM(L166)</f>
        <v>0</v>
      </c>
      <c r="M176" s="38" t="n">
        <f aca="false">SUM(M166)</f>
        <v>0</v>
      </c>
      <c r="N176" s="38" t="n">
        <f aca="false">SUM(N166)</f>
        <v>0</v>
      </c>
      <c r="O176" s="38" t="n">
        <f aca="false">SUM(O166)</f>
        <v>0</v>
      </c>
      <c r="P176" s="38" t="n">
        <f aca="false">SUM(P166)</f>
        <v>0</v>
      </c>
      <c r="Q176" s="38"/>
      <c r="S176" s="33" t="n">
        <f aca="false">SUM(E176:P176)</f>
        <v>0</v>
      </c>
      <c r="T176" s="28"/>
    </row>
    <row r="177" s="6" customFormat="true" ht="18" hidden="false" customHeight="true" outlineLevel="0" collapsed="false">
      <c r="T177" s="28"/>
    </row>
    <row r="178" s="6" customFormat="true" ht="18" hidden="false" customHeight="true" outlineLevel="0" collapsed="false">
      <c r="B178" s="11"/>
      <c r="C178" s="94" t="s">
        <v>169</v>
      </c>
      <c r="D178" s="54"/>
      <c r="E178" s="95" t="n">
        <f aca="false">SUM(E164,E176)</f>
        <v>0</v>
      </c>
      <c r="F178" s="95" t="n">
        <f aca="false">SUM(F164,F176)</f>
        <v>0</v>
      </c>
      <c r="G178" s="95" t="n">
        <f aca="false">SUM(G164,G176)</f>
        <v>0</v>
      </c>
      <c r="H178" s="95" t="n">
        <f aca="false">SUM(H164,H176)</f>
        <v>0</v>
      </c>
      <c r="I178" s="95" t="n">
        <f aca="false">SUM(I164,I176)</f>
        <v>0</v>
      </c>
      <c r="J178" s="95" t="n">
        <f aca="false">SUM(J164,J176)</f>
        <v>0</v>
      </c>
      <c r="K178" s="95" t="n">
        <f aca="false">SUM(K164,K176)</f>
        <v>0</v>
      </c>
      <c r="L178" s="95" t="n">
        <f aca="false">SUM(L164,L176)</f>
        <v>0</v>
      </c>
      <c r="M178" s="95" t="n">
        <f aca="false">SUM(M164,M176)</f>
        <v>0</v>
      </c>
      <c r="N178" s="95" t="n">
        <f aca="false">SUM(N164,N176)</f>
        <v>0</v>
      </c>
      <c r="O178" s="95" t="n">
        <f aca="false">SUM(O164,O176)</f>
        <v>0</v>
      </c>
      <c r="P178" s="95" t="n">
        <f aca="false">SUM(P164,P176)</f>
        <v>0</v>
      </c>
      <c r="Q178" s="95"/>
      <c r="S178" s="95" t="n">
        <f aca="false">SUM(E178:P178)</f>
        <v>0</v>
      </c>
      <c r="T178" s="28"/>
    </row>
    <row r="179" s="57" customFormat="true" ht="18" hidden="false" customHeight="true" outlineLevel="0" collapsed="false">
      <c r="B179" s="58"/>
      <c r="C179" s="96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S179" s="77"/>
      <c r="T179" s="28"/>
    </row>
    <row r="180" s="6" customFormat="true" ht="18" hidden="false" customHeight="true" outlineLevel="0" collapsed="false">
      <c r="B180" s="11" t="s">
        <v>170</v>
      </c>
      <c r="C180" s="97" t="s">
        <v>171</v>
      </c>
      <c r="D180" s="54"/>
      <c r="E180" s="95" t="n">
        <f aca="false">SUM(E22,E78,E152,E178)</f>
        <v>0</v>
      </c>
      <c r="F180" s="95" t="n">
        <f aca="false">SUM(F22,F78,F152,F178)</f>
        <v>0</v>
      </c>
      <c r="G180" s="95" t="n">
        <f aca="false">SUM(G22,G78,G152,G178)</f>
        <v>0</v>
      </c>
      <c r="H180" s="95" t="n">
        <f aca="false">SUM(H22,H78,H152,H178)</f>
        <v>0</v>
      </c>
      <c r="I180" s="95" t="n">
        <f aca="false">SUM(I22,I78,I152,I178)</f>
        <v>0</v>
      </c>
      <c r="J180" s="95" t="n">
        <f aca="false">SUM(J22,J78,J152,J178)</f>
        <v>0</v>
      </c>
      <c r="K180" s="95" t="n">
        <f aca="false">SUM(K22,K78,K152,K178)</f>
        <v>0</v>
      </c>
      <c r="L180" s="95" t="n">
        <f aca="false">SUM(L22,L78,L152,L178)</f>
        <v>0</v>
      </c>
      <c r="M180" s="95" t="n">
        <f aca="false">SUM(M22,M78,M152,M178)</f>
        <v>0</v>
      </c>
      <c r="N180" s="95" t="n">
        <f aca="false">SUM(N22,N78,N152,N178)</f>
        <v>0</v>
      </c>
      <c r="O180" s="95" t="n">
        <f aca="false">SUM(O22,O78,O152,O178)</f>
        <v>0</v>
      </c>
      <c r="P180" s="95" t="n">
        <f aca="false">SUM(P22,P78,P152,P178)</f>
        <v>0</v>
      </c>
      <c r="Q180" s="95"/>
      <c r="S180" s="95" t="n">
        <f aca="false">SUM(E180:P180)</f>
        <v>0</v>
      </c>
      <c r="T180" s="28"/>
    </row>
    <row r="181" s="6" customFormat="true" ht="18" hidden="false" customHeight="true" outlineLevel="0" collapsed="false">
      <c r="B181" s="11"/>
      <c r="C181" s="49"/>
      <c r="D181" s="54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S181" s="28"/>
      <c r="T181" s="28"/>
    </row>
    <row r="182" s="57" customFormat="true" ht="18" hidden="false" customHeight="true" outlineLevel="0" collapsed="false">
      <c r="B182" s="58" t="s">
        <v>172</v>
      </c>
      <c r="C182" s="96" t="s">
        <v>173</v>
      </c>
      <c r="D182" s="77"/>
      <c r="E182" s="98" t="n">
        <f aca="false">SUM(E183:E184)</f>
        <v>0</v>
      </c>
      <c r="F182" s="98" t="n">
        <f aca="false">SUM(F183:F184)</f>
        <v>0</v>
      </c>
      <c r="G182" s="98" t="n">
        <f aca="false">SUM(G183:G184)</f>
        <v>0</v>
      </c>
      <c r="H182" s="98" t="n">
        <f aca="false">SUM(H183:H184)</f>
        <v>0</v>
      </c>
      <c r="I182" s="98" t="n">
        <f aca="false">SUM(I183:I184)</f>
        <v>0</v>
      </c>
      <c r="J182" s="98" t="n">
        <f aca="false">SUM(J183:J184)</f>
        <v>0</v>
      </c>
      <c r="K182" s="98" t="n">
        <f aca="false">SUM(K183:K184)</f>
        <v>0</v>
      </c>
      <c r="L182" s="98" t="n">
        <f aca="false">SUM(L183:L184)</f>
        <v>0</v>
      </c>
      <c r="M182" s="98" t="n">
        <f aca="false">SUM(M183:M184)</f>
        <v>0</v>
      </c>
      <c r="N182" s="98" t="n">
        <f aca="false">SUM(N183:N184)</f>
        <v>0</v>
      </c>
      <c r="O182" s="98" t="n">
        <f aca="false">SUM(O183:O184)</f>
        <v>0</v>
      </c>
      <c r="P182" s="98" t="n">
        <f aca="false">SUM(P183:P184)</f>
        <v>0</v>
      </c>
      <c r="Q182" s="98"/>
      <c r="S182" s="98" t="n">
        <f aca="false">SUM(E182:P182)</f>
        <v>0</v>
      </c>
      <c r="T182" s="28"/>
    </row>
    <row r="183" s="6" customFormat="true" ht="18" hidden="false" customHeight="true" outlineLevel="0" collapsed="false">
      <c r="B183" s="11"/>
      <c r="C183" s="99" t="s">
        <v>174</v>
      </c>
      <c r="D183" s="54"/>
      <c r="E183" s="100" t="n">
        <v>0</v>
      </c>
      <c r="F183" s="100" t="n">
        <v>0</v>
      </c>
      <c r="G183" s="100" t="n">
        <v>0</v>
      </c>
      <c r="H183" s="100" t="n">
        <v>0</v>
      </c>
      <c r="I183" s="100" t="n">
        <v>0</v>
      </c>
      <c r="J183" s="100" t="n">
        <v>0</v>
      </c>
      <c r="K183" s="100" t="n">
        <v>0</v>
      </c>
      <c r="L183" s="100" t="n">
        <v>0</v>
      </c>
      <c r="M183" s="100" t="n">
        <v>0</v>
      </c>
      <c r="N183" s="100" t="n">
        <v>0</v>
      </c>
      <c r="O183" s="100" t="n">
        <v>0</v>
      </c>
      <c r="P183" s="100" t="n">
        <v>0</v>
      </c>
      <c r="Q183" s="101"/>
      <c r="S183" s="63" t="n">
        <f aca="false">SUM(E183:P183)</f>
        <v>0</v>
      </c>
      <c r="T183" s="28"/>
    </row>
    <row r="184" s="6" customFormat="true" ht="18" hidden="false" customHeight="true" outlineLevel="0" collapsed="false">
      <c r="B184" s="11"/>
      <c r="C184" s="102" t="s">
        <v>175</v>
      </c>
      <c r="D184" s="54"/>
      <c r="E184" s="103" t="n">
        <v>0</v>
      </c>
      <c r="F184" s="103" t="n">
        <v>0</v>
      </c>
      <c r="G184" s="103" t="n">
        <v>0</v>
      </c>
      <c r="H184" s="103" t="n">
        <v>0</v>
      </c>
      <c r="I184" s="103" t="n">
        <v>0</v>
      </c>
      <c r="J184" s="103" t="n">
        <v>0</v>
      </c>
      <c r="K184" s="103" t="n">
        <v>0</v>
      </c>
      <c r="L184" s="103" t="n">
        <v>0</v>
      </c>
      <c r="M184" s="103" t="n">
        <v>0</v>
      </c>
      <c r="N184" s="103" t="n">
        <v>0</v>
      </c>
      <c r="O184" s="103" t="n">
        <v>0</v>
      </c>
      <c r="P184" s="103" t="n">
        <v>0</v>
      </c>
      <c r="Q184" s="104"/>
      <c r="S184" s="75" t="n">
        <f aca="false">SUM(E184:P184)</f>
        <v>0</v>
      </c>
      <c r="T184" s="28"/>
    </row>
    <row r="185" s="6" customFormat="true" ht="18" hidden="false" customHeight="true" outlineLevel="0" collapsed="false">
      <c r="B185" s="11"/>
      <c r="D185" s="54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S185" s="28"/>
      <c r="T185" s="28"/>
    </row>
    <row r="186" s="6" customFormat="true" ht="18" hidden="false" customHeight="true" outlineLevel="0" collapsed="false">
      <c r="B186" s="11" t="s">
        <v>176</v>
      </c>
      <c r="C186" s="105" t="s">
        <v>177</v>
      </c>
      <c r="D186" s="54"/>
      <c r="E186" s="95" t="n">
        <f aca="false">SUM(E180,E182)</f>
        <v>0</v>
      </c>
      <c r="F186" s="95" t="n">
        <f aca="false">SUM(F180,F182)</f>
        <v>0</v>
      </c>
      <c r="G186" s="95" t="n">
        <f aca="false">SUM(G180,G182)</f>
        <v>0</v>
      </c>
      <c r="H186" s="95" t="n">
        <f aca="false">SUM(H180,H182)</f>
        <v>0</v>
      </c>
      <c r="I186" s="95" t="n">
        <f aca="false">SUM(I180,I182)</f>
        <v>0</v>
      </c>
      <c r="J186" s="95" t="n">
        <f aca="false">SUM(J180,J182)</f>
        <v>0</v>
      </c>
      <c r="K186" s="95" t="n">
        <f aca="false">SUM(K180,K182)</f>
        <v>0</v>
      </c>
      <c r="L186" s="95" t="n">
        <f aca="false">SUM(L180,L182)</f>
        <v>0</v>
      </c>
      <c r="M186" s="95" t="n">
        <f aca="false">SUM(M180,M182)</f>
        <v>0</v>
      </c>
      <c r="N186" s="95" t="n">
        <f aca="false">SUM(N180,N182)</f>
        <v>0</v>
      </c>
      <c r="O186" s="95" t="n">
        <f aca="false">SUM(O180,O182)</f>
        <v>0</v>
      </c>
      <c r="P186" s="95" t="n">
        <f aca="false">SUM(P180,P182)</f>
        <v>0</v>
      </c>
      <c r="Q186" s="95"/>
      <c r="S186" s="95" t="n">
        <f aca="false">SUM(E186:P186)</f>
        <v>0</v>
      </c>
    </row>
    <row r="187" s="57" customFormat="true" ht="18" hidden="false" customHeight="true" outlineLevel="0" collapsed="false">
      <c r="B187" s="58"/>
      <c r="C187" s="106" t="s">
        <v>82</v>
      </c>
      <c r="D187" s="77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6"/>
      <c r="S187" s="98"/>
      <c r="T187" s="6"/>
      <c r="U187" s="6"/>
    </row>
    <row r="188" s="6" customFormat="true" ht="18" hidden="false" customHeight="true" outlineLevel="0" collapsed="false">
      <c r="B188" s="7"/>
      <c r="C188" s="107" t="s">
        <v>178</v>
      </c>
      <c r="D188" s="108"/>
      <c r="E188" s="109" t="n">
        <f aca="false">E22</f>
        <v>0</v>
      </c>
      <c r="F188" s="109" t="n">
        <f aca="false">F22</f>
        <v>0</v>
      </c>
      <c r="G188" s="109" t="n">
        <f aca="false">G22</f>
        <v>0</v>
      </c>
      <c r="H188" s="109" t="n">
        <f aca="false">H22</f>
        <v>0</v>
      </c>
      <c r="I188" s="109" t="n">
        <f aca="false">I22</f>
        <v>0</v>
      </c>
      <c r="J188" s="109" t="n">
        <f aca="false">J22</f>
        <v>0</v>
      </c>
      <c r="K188" s="109" t="n">
        <f aca="false">K22</f>
        <v>0</v>
      </c>
      <c r="L188" s="109" t="n">
        <f aca="false">L22</f>
        <v>0</v>
      </c>
      <c r="M188" s="109" t="n">
        <f aca="false">M22</f>
        <v>0</v>
      </c>
      <c r="N188" s="109" t="n">
        <f aca="false">N22</f>
        <v>0</v>
      </c>
      <c r="O188" s="109" t="n">
        <f aca="false">O22</f>
        <v>0</v>
      </c>
      <c r="P188" s="109" t="n">
        <f aca="false">P22</f>
        <v>0</v>
      </c>
      <c r="Q188" s="109"/>
      <c r="S188" s="110" t="n">
        <f aca="false">SUM(E188:P188)</f>
        <v>0</v>
      </c>
    </row>
    <row r="189" s="6" customFormat="true" ht="18" hidden="false" customHeight="true" outlineLevel="0" collapsed="false">
      <c r="B189" s="7"/>
      <c r="C189" s="107" t="s">
        <v>179</v>
      </c>
      <c r="D189" s="108"/>
      <c r="E189" s="109" t="n">
        <f aca="false">E51+E64</f>
        <v>0</v>
      </c>
      <c r="F189" s="109" t="n">
        <f aca="false">F51+F64</f>
        <v>0</v>
      </c>
      <c r="G189" s="109" t="n">
        <f aca="false">G51+G64</f>
        <v>0</v>
      </c>
      <c r="H189" s="109" t="n">
        <f aca="false">H51+H64</f>
        <v>0</v>
      </c>
      <c r="I189" s="109" t="n">
        <f aca="false">I51+I64</f>
        <v>0</v>
      </c>
      <c r="J189" s="109" t="n">
        <f aca="false">J51+J64</f>
        <v>0</v>
      </c>
      <c r="K189" s="109" t="n">
        <f aca="false">K51+K64</f>
        <v>0</v>
      </c>
      <c r="L189" s="109" t="n">
        <f aca="false">L51+L64</f>
        <v>0</v>
      </c>
      <c r="M189" s="109" t="n">
        <f aca="false">M51+M64</f>
        <v>0</v>
      </c>
      <c r="N189" s="109" t="n">
        <f aca="false">N51+N64</f>
        <v>0</v>
      </c>
      <c r="O189" s="109" t="n">
        <f aca="false">O51+O64</f>
        <v>0</v>
      </c>
      <c r="P189" s="109" t="n">
        <f aca="false">P51+P64</f>
        <v>0</v>
      </c>
      <c r="Q189" s="109"/>
      <c r="S189" s="110" t="n">
        <f aca="false">SUM(E189:P189)</f>
        <v>0</v>
      </c>
      <c r="W189" s="111"/>
    </row>
    <row r="190" s="6" customFormat="true" ht="18" hidden="false" customHeight="true" outlineLevel="0" collapsed="false">
      <c r="B190" s="7"/>
      <c r="C190" s="107" t="s">
        <v>180</v>
      </c>
      <c r="D190" s="108"/>
      <c r="E190" s="109" t="n">
        <f aca="false">E26+E33+E37</f>
        <v>0</v>
      </c>
      <c r="F190" s="109" t="n">
        <f aca="false">F26+F33+F37</f>
        <v>0</v>
      </c>
      <c r="G190" s="109" t="n">
        <f aca="false">G26+G33+G37</f>
        <v>0</v>
      </c>
      <c r="H190" s="109" t="n">
        <f aca="false">H26+H33+H37</f>
        <v>0</v>
      </c>
      <c r="I190" s="109" t="n">
        <f aca="false">I26+I33+I37</f>
        <v>0</v>
      </c>
      <c r="J190" s="109" t="n">
        <f aca="false">J26+J33+J37</f>
        <v>0</v>
      </c>
      <c r="K190" s="109" t="n">
        <f aca="false">K26+K33+K37</f>
        <v>0</v>
      </c>
      <c r="L190" s="109" t="n">
        <f aca="false">L26+L33+L37</f>
        <v>0</v>
      </c>
      <c r="M190" s="109" t="n">
        <f aca="false">M26+M33+M37</f>
        <v>0</v>
      </c>
      <c r="N190" s="109" t="n">
        <f aca="false">N26+N33+N37</f>
        <v>0</v>
      </c>
      <c r="O190" s="109" t="n">
        <f aca="false">O26+O33+O37</f>
        <v>0</v>
      </c>
      <c r="P190" s="109" t="n">
        <f aca="false">P26+P33+P37</f>
        <v>0</v>
      </c>
      <c r="Q190" s="109"/>
      <c r="S190" s="110" t="n">
        <f aca="false">SUM(E190:P190)</f>
        <v>0</v>
      </c>
    </row>
    <row r="191" s="6" customFormat="true" ht="18" hidden="false" customHeight="true" outlineLevel="0" collapsed="false">
      <c r="B191" s="7"/>
      <c r="C191" s="107" t="s">
        <v>181</v>
      </c>
      <c r="D191" s="108"/>
      <c r="E191" s="109" t="n">
        <f aca="false">E188+E189+E190</f>
        <v>0</v>
      </c>
      <c r="F191" s="109" t="n">
        <f aca="false">F188+F189+F190</f>
        <v>0</v>
      </c>
      <c r="G191" s="109" t="n">
        <f aca="false">G188+G189+G190</f>
        <v>0</v>
      </c>
      <c r="H191" s="109" t="n">
        <f aca="false">H188+H189+H190</f>
        <v>0</v>
      </c>
      <c r="I191" s="109" t="n">
        <f aca="false">I188+I189+I190</f>
        <v>0</v>
      </c>
      <c r="J191" s="109" t="n">
        <f aca="false">J188+J189+J190</f>
        <v>0</v>
      </c>
      <c r="K191" s="109" t="n">
        <f aca="false">K188+K189+K190</f>
        <v>0</v>
      </c>
      <c r="L191" s="109" t="n">
        <f aca="false">L188+L189+L190</f>
        <v>0</v>
      </c>
      <c r="M191" s="109" t="n">
        <f aca="false">M188+M189+M190</f>
        <v>0</v>
      </c>
      <c r="N191" s="109" t="n">
        <f aca="false">N188+N189+N190</f>
        <v>0</v>
      </c>
      <c r="O191" s="109" t="n">
        <f aca="false">O188+O189+O190</f>
        <v>0</v>
      </c>
      <c r="P191" s="109" t="n">
        <f aca="false">P188+P189+P190</f>
        <v>0</v>
      </c>
      <c r="Q191" s="109"/>
      <c r="S191" s="110" t="n">
        <f aca="false">SUM(E191:P191)</f>
        <v>0</v>
      </c>
    </row>
    <row r="192" s="6" customFormat="true" ht="18.75" hidden="false" customHeight="true" outlineLevel="0" collapsed="false">
      <c r="B192" s="7"/>
      <c r="C192" s="107" t="s">
        <v>182</v>
      </c>
      <c r="D192" s="108"/>
      <c r="E192" s="109" t="n">
        <f aca="false">E84</f>
        <v>0</v>
      </c>
      <c r="F192" s="109" t="n">
        <f aca="false">F84</f>
        <v>0</v>
      </c>
      <c r="G192" s="109" t="n">
        <f aca="false">G84</f>
        <v>0</v>
      </c>
      <c r="H192" s="109" t="n">
        <f aca="false">H84</f>
        <v>0</v>
      </c>
      <c r="I192" s="109" t="n">
        <f aca="false">I84</f>
        <v>0</v>
      </c>
      <c r="J192" s="109" t="n">
        <f aca="false">J84</f>
        <v>0</v>
      </c>
      <c r="K192" s="109" t="n">
        <f aca="false">K84</f>
        <v>0</v>
      </c>
      <c r="L192" s="109" t="n">
        <f aca="false">L84</f>
        <v>0</v>
      </c>
      <c r="M192" s="109" t="n">
        <f aca="false">M84</f>
        <v>0</v>
      </c>
      <c r="N192" s="109" t="n">
        <f aca="false">N84</f>
        <v>0</v>
      </c>
      <c r="O192" s="109" t="n">
        <f aca="false">O84</f>
        <v>0</v>
      </c>
      <c r="P192" s="109" t="n">
        <f aca="false">P84</f>
        <v>0</v>
      </c>
      <c r="Q192" s="109"/>
      <c r="S192" s="110" t="n">
        <f aca="false">SUM(E192:P192)</f>
        <v>0</v>
      </c>
    </row>
    <row r="193" s="6" customFormat="true" ht="18" hidden="false" customHeight="true" outlineLevel="0" collapsed="false">
      <c r="B193" s="7"/>
      <c r="C193" s="107" t="s">
        <v>183</v>
      </c>
      <c r="D193" s="108"/>
      <c r="E193" s="109" t="n">
        <f aca="false">E152-E84</f>
        <v>0</v>
      </c>
      <c r="F193" s="109" t="n">
        <f aca="false">F152-F84</f>
        <v>0</v>
      </c>
      <c r="G193" s="109" t="n">
        <f aca="false">G152-G84</f>
        <v>0</v>
      </c>
      <c r="H193" s="109" t="n">
        <f aca="false">H152-H84</f>
        <v>0</v>
      </c>
      <c r="I193" s="109" t="n">
        <f aca="false">I152-I84</f>
        <v>0</v>
      </c>
      <c r="J193" s="109" t="n">
        <f aca="false">J152-J84</f>
        <v>0</v>
      </c>
      <c r="K193" s="109" t="n">
        <f aca="false">K152-K84</f>
        <v>0</v>
      </c>
      <c r="L193" s="109" t="n">
        <f aca="false">L152-L84</f>
        <v>0</v>
      </c>
      <c r="M193" s="109" t="n">
        <f aca="false">M152-M84</f>
        <v>0</v>
      </c>
      <c r="N193" s="109" t="n">
        <f aca="false">N152-N84</f>
        <v>0</v>
      </c>
      <c r="O193" s="109" t="n">
        <f aca="false">O152-O84</f>
        <v>0</v>
      </c>
      <c r="P193" s="109" t="n">
        <f aca="false">P152-P84</f>
        <v>0</v>
      </c>
      <c r="Q193" s="109"/>
      <c r="S193" s="110" t="n">
        <f aca="false">SUM(E193:P193)</f>
        <v>0</v>
      </c>
    </row>
    <row r="194" s="6" customFormat="true" ht="18" hidden="false" customHeight="true" outlineLevel="0" collapsed="false">
      <c r="B194" s="7"/>
      <c r="C194" s="107" t="s">
        <v>184</v>
      </c>
      <c r="D194" s="108"/>
      <c r="E194" s="109" t="n">
        <f aca="false">E154</f>
        <v>0</v>
      </c>
      <c r="F194" s="109" t="n">
        <f aca="false">F154</f>
        <v>0</v>
      </c>
      <c r="G194" s="109" t="n">
        <f aca="false">G154</f>
        <v>0</v>
      </c>
      <c r="H194" s="109" t="n">
        <f aca="false">H154</f>
        <v>0</v>
      </c>
      <c r="I194" s="109" t="n">
        <f aca="false">I154</f>
        <v>0</v>
      </c>
      <c r="J194" s="109" t="n">
        <f aca="false">J154</f>
        <v>0</v>
      </c>
      <c r="K194" s="109" t="n">
        <f aca="false">K154</f>
        <v>0</v>
      </c>
      <c r="L194" s="109" t="n">
        <f aca="false">L154</f>
        <v>0</v>
      </c>
      <c r="M194" s="109" t="n">
        <f aca="false">M154</f>
        <v>0</v>
      </c>
      <c r="N194" s="109" t="n">
        <f aca="false">N154</f>
        <v>0</v>
      </c>
      <c r="O194" s="109" t="n">
        <f aca="false">O154</f>
        <v>0</v>
      </c>
      <c r="P194" s="109" t="n">
        <f aca="false">P154</f>
        <v>0</v>
      </c>
      <c r="Q194" s="109"/>
      <c r="S194" s="110" t="n">
        <f aca="false">SUM(E194:P194)</f>
        <v>0</v>
      </c>
    </row>
    <row r="195" s="6" customFormat="true" ht="18" hidden="false" customHeight="true" outlineLevel="0" collapsed="false">
      <c r="B195" s="7"/>
      <c r="C195" s="107" t="s">
        <v>185</v>
      </c>
      <c r="D195" s="108"/>
      <c r="E195" s="109" t="n">
        <f aca="false">E178</f>
        <v>0</v>
      </c>
      <c r="F195" s="109" t="n">
        <f aca="false">F178</f>
        <v>0</v>
      </c>
      <c r="G195" s="109" t="n">
        <f aca="false">G178</f>
        <v>0</v>
      </c>
      <c r="H195" s="109" t="n">
        <f aca="false">H178</f>
        <v>0</v>
      </c>
      <c r="I195" s="109" t="n">
        <f aca="false">I178</f>
        <v>0</v>
      </c>
      <c r="J195" s="109" t="n">
        <f aca="false">J178</f>
        <v>0</v>
      </c>
      <c r="K195" s="109" t="n">
        <f aca="false">K178</f>
        <v>0</v>
      </c>
      <c r="L195" s="109" t="n">
        <f aca="false">L178</f>
        <v>0</v>
      </c>
      <c r="M195" s="109" t="n">
        <f aca="false">M178</f>
        <v>0</v>
      </c>
      <c r="N195" s="109" t="n">
        <f aca="false">N178</f>
        <v>0</v>
      </c>
      <c r="O195" s="109" t="n">
        <f aca="false">O178</f>
        <v>0</v>
      </c>
      <c r="P195" s="109" t="n">
        <f aca="false">P178</f>
        <v>0</v>
      </c>
      <c r="Q195" s="109"/>
      <c r="S195" s="110" t="n">
        <f aca="false">SUM(E195:P195)</f>
        <v>0</v>
      </c>
    </row>
    <row r="196" s="6" customFormat="true" ht="18" hidden="false" customHeight="true" outlineLevel="0" collapsed="false">
      <c r="B196" s="7"/>
      <c r="C196" s="107" t="s">
        <v>186</v>
      </c>
      <c r="D196" s="108"/>
      <c r="E196" s="109" t="n">
        <f aca="false">E180</f>
        <v>0</v>
      </c>
      <c r="F196" s="109" t="n">
        <f aca="false">F180</f>
        <v>0</v>
      </c>
      <c r="G196" s="109" t="n">
        <f aca="false">G180</f>
        <v>0</v>
      </c>
      <c r="H196" s="109" t="n">
        <f aca="false">H180</f>
        <v>0</v>
      </c>
      <c r="I196" s="109" t="n">
        <f aca="false">I180</f>
        <v>0</v>
      </c>
      <c r="J196" s="109" t="n">
        <f aca="false">J180</f>
        <v>0</v>
      </c>
      <c r="K196" s="109" t="n">
        <f aca="false">K180</f>
        <v>0</v>
      </c>
      <c r="L196" s="109" t="n">
        <f aca="false">L180</f>
        <v>0</v>
      </c>
      <c r="M196" s="109" t="n">
        <f aca="false">M180</f>
        <v>0</v>
      </c>
      <c r="N196" s="109" t="n">
        <f aca="false">N180</f>
        <v>0</v>
      </c>
      <c r="O196" s="109" t="n">
        <f aca="false">O180</f>
        <v>0</v>
      </c>
      <c r="P196" s="109" t="n">
        <f aca="false">P180</f>
        <v>0</v>
      </c>
      <c r="Q196" s="109"/>
      <c r="S196" s="110" t="n">
        <f aca="false">SUM(E196:P196)</f>
        <v>0</v>
      </c>
    </row>
    <row r="197" s="6" customFormat="true" ht="18" hidden="false" customHeight="true" outlineLevel="0" collapsed="false">
      <c r="B197" s="7"/>
      <c r="C197" s="107" t="s">
        <v>187</v>
      </c>
      <c r="D197" s="108"/>
      <c r="E197" s="109" t="n">
        <f aca="false">E183+E184</f>
        <v>0</v>
      </c>
      <c r="F197" s="109" t="n">
        <f aca="false">F183+F184</f>
        <v>0</v>
      </c>
      <c r="G197" s="109" t="n">
        <f aca="false">G183+G184</f>
        <v>0</v>
      </c>
      <c r="H197" s="109" t="n">
        <f aca="false">H183+H184</f>
        <v>0</v>
      </c>
      <c r="I197" s="109" t="n">
        <f aca="false">I183+I184</f>
        <v>0</v>
      </c>
      <c r="J197" s="109" t="n">
        <f aca="false">J183+J184</f>
        <v>0</v>
      </c>
      <c r="K197" s="109" t="n">
        <f aca="false">K183+K184</f>
        <v>0</v>
      </c>
      <c r="L197" s="109" t="n">
        <f aca="false">L183+L184</f>
        <v>0</v>
      </c>
      <c r="M197" s="109" t="n">
        <f aca="false">M183+M184</f>
        <v>0</v>
      </c>
      <c r="N197" s="109" t="n">
        <f aca="false">N183+N184</f>
        <v>0</v>
      </c>
      <c r="O197" s="109" t="n">
        <f aca="false">O183+O184</f>
        <v>0</v>
      </c>
      <c r="P197" s="109" t="n">
        <f aca="false">P183+P184</f>
        <v>0</v>
      </c>
      <c r="Q197" s="109"/>
      <c r="S197" s="110" t="n">
        <f aca="false">SUM(E197:P197)</f>
        <v>0</v>
      </c>
    </row>
    <row r="198" s="6" customFormat="true" ht="18" hidden="false" customHeight="true" outlineLevel="0" collapsed="false">
      <c r="B198" s="7"/>
      <c r="C198" s="107" t="s">
        <v>188</v>
      </c>
      <c r="D198" s="108"/>
      <c r="E198" s="109" t="n">
        <f aca="false">E186</f>
        <v>0</v>
      </c>
      <c r="F198" s="109" t="n">
        <f aca="false">F186</f>
        <v>0</v>
      </c>
      <c r="G198" s="109" t="n">
        <f aca="false">G186</f>
        <v>0</v>
      </c>
      <c r="H198" s="109" t="n">
        <f aca="false">H186</f>
        <v>0</v>
      </c>
      <c r="I198" s="109" t="n">
        <f aca="false">I186</f>
        <v>0</v>
      </c>
      <c r="J198" s="109" t="n">
        <f aca="false">J186</f>
        <v>0</v>
      </c>
      <c r="K198" s="109" t="n">
        <f aca="false">K186</f>
        <v>0</v>
      </c>
      <c r="L198" s="109" t="n">
        <f aca="false">L186</f>
        <v>0</v>
      </c>
      <c r="M198" s="109" t="n">
        <f aca="false">M186</f>
        <v>0</v>
      </c>
      <c r="N198" s="109" t="n">
        <f aca="false">N186</f>
        <v>0</v>
      </c>
      <c r="O198" s="109" t="n">
        <f aca="false">O186</f>
        <v>0</v>
      </c>
      <c r="P198" s="109" t="n">
        <f aca="false">P186</f>
        <v>0</v>
      </c>
      <c r="Q198" s="109"/>
      <c r="S198" s="110" t="n">
        <f aca="false">SUM(E198:P198)</f>
        <v>0</v>
      </c>
      <c r="Y198" s="76"/>
    </row>
    <row r="199" s="6" customFormat="true" ht="8.25" hidden="false" customHeight="true" outlineLevel="0" collapsed="false">
      <c r="B199" s="7"/>
      <c r="D199" s="108"/>
      <c r="S199" s="49"/>
    </row>
    <row r="200" customFormat="false" ht="12.75" hidden="false" customHeight="true" outlineLevel="0" collapsed="false">
      <c r="C200" s="112" t="s">
        <v>189</v>
      </c>
      <c r="E200" s="113" t="n">
        <f aca="false">IFERROR((E191/E188),0)</f>
        <v>0</v>
      </c>
      <c r="F200" s="113" t="n">
        <f aca="false">IFERROR((F191/F188),0)</f>
        <v>0</v>
      </c>
      <c r="G200" s="113" t="n">
        <f aca="false">IFERROR((G191/G188),0)</f>
        <v>0</v>
      </c>
      <c r="H200" s="113" t="n">
        <f aca="false">IFERROR((H191/H188),0)</f>
        <v>0</v>
      </c>
      <c r="I200" s="113" t="n">
        <f aca="false">IFERROR((I191/I188),0)</f>
        <v>0</v>
      </c>
      <c r="J200" s="113" t="n">
        <f aca="false">IFERROR((J191/J188),0)</f>
        <v>0</v>
      </c>
      <c r="K200" s="113" t="n">
        <f aca="false">IFERROR((K191/K188),0)</f>
        <v>0</v>
      </c>
      <c r="L200" s="113" t="n">
        <f aca="false">IFERROR((L191/L188),0)</f>
        <v>0</v>
      </c>
      <c r="M200" s="113" t="n">
        <f aca="false">IFERROR((M191/M188),0)</f>
        <v>0</v>
      </c>
      <c r="N200" s="113" t="n">
        <f aca="false">IFERROR((N191/N188),0)</f>
        <v>0</v>
      </c>
      <c r="O200" s="113" t="n">
        <f aca="false">IFERROR((O191/O188),0)</f>
        <v>0</v>
      </c>
      <c r="P200" s="113" t="n">
        <f aca="false">IFERROR((P191/P188),0)</f>
        <v>0</v>
      </c>
      <c r="Q200" s="113"/>
      <c r="R200" s="6"/>
      <c r="S200" s="114" t="n">
        <f aca="false">IFERROR((S191/S188),0)</f>
        <v>0</v>
      </c>
      <c r="T200" s="6"/>
      <c r="U200" s="6"/>
    </row>
    <row r="201" customFormat="false" ht="12.75" hidden="false" customHeight="true" outlineLevel="0" collapsed="false">
      <c r="C201" s="112" t="s">
        <v>190</v>
      </c>
      <c r="E201" s="113" t="n">
        <f aca="false">IFERROR((E194/E188),0)</f>
        <v>0</v>
      </c>
      <c r="F201" s="113" t="n">
        <f aca="false">IFERROR((F194/F188),0)</f>
        <v>0</v>
      </c>
      <c r="G201" s="113" t="n">
        <f aca="false">IFERROR((G194/G188),0)</f>
        <v>0</v>
      </c>
      <c r="H201" s="113" t="n">
        <f aca="false">IFERROR((H194/H188),0)</f>
        <v>0</v>
      </c>
      <c r="I201" s="113" t="n">
        <f aca="false">IFERROR((I194/I188),0)</f>
        <v>0</v>
      </c>
      <c r="J201" s="113" t="n">
        <f aca="false">IFERROR((J194/J188),0)</f>
        <v>0</v>
      </c>
      <c r="K201" s="113" t="n">
        <f aca="false">IFERROR((K194/K188),0)</f>
        <v>0</v>
      </c>
      <c r="L201" s="113" t="n">
        <f aca="false">IFERROR((L194/L188),0)</f>
        <v>0</v>
      </c>
      <c r="M201" s="113" t="n">
        <f aca="false">IFERROR((M194/M188),0)</f>
        <v>0</v>
      </c>
      <c r="N201" s="113" t="n">
        <f aca="false">IFERROR((N194/N188),0)</f>
        <v>0</v>
      </c>
      <c r="O201" s="113" t="n">
        <f aca="false">IFERROR((O194/O188),0)</f>
        <v>0</v>
      </c>
      <c r="P201" s="113" t="n">
        <f aca="false">IFERROR((P194/P188),0)</f>
        <v>0</v>
      </c>
      <c r="Q201" s="113"/>
      <c r="R201" s="6"/>
      <c r="S201" s="114" t="n">
        <f aca="false">IFERROR((S194/S188),0)</f>
        <v>0</v>
      </c>
      <c r="T201" s="6"/>
      <c r="U201" s="6"/>
    </row>
    <row r="202" customFormat="false" ht="12.75" hidden="false" customHeight="true" outlineLevel="0" collapsed="false">
      <c r="C202" s="112" t="s">
        <v>191</v>
      </c>
      <c r="E202" s="113" t="n">
        <f aca="false">IFERROR((E198/E188),0)</f>
        <v>0</v>
      </c>
      <c r="F202" s="113" t="n">
        <f aca="false">IFERROR((F198/F188),0)</f>
        <v>0</v>
      </c>
      <c r="G202" s="113" t="n">
        <f aca="false">IFERROR((G198/G188),0)</f>
        <v>0</v>
      </c>
      <c r="H202" s="113" t="n">
        <f aca="false">IFERROR((H198/H188),0)</f>
        <v>0</v>
      </c>
      <c r="I202" s="113" t="n">
        <f aca="false">IFERROR((I198/I188),0)</f>
        <v>0</v>
      </c>
      <c r="J202" s="113" t="n">
        <f aca="false">IFERROR((J198/J188),0)</f>
        <v>0</v>
      </c>
      <c r="K202" s="113" t="n">
        <f aca="false">IFERROR((K198/K188),0)</f>
        <v>0</v>
      </c>
      <c r="L202" s="113" t="n">
        <f aca="false">IFERROR((L198/L188),0)</f>
        <v>0</v>
      </c>
      <c r="M202" s="113" t="n">
        <f aca="false">IFERROR((M198/M188),0)</f>
        <v>0</v>
      </c>
      <c r="N202" s="113" t="n">
        <f aca="false">IFERROR((N198/N188),0)</f>
        <v>0</v>
      </c>
      <c r="O202" s="113" t="n">
        <f aca="false">IFERROR((O198/O188),0)</f>
        <v>0</v>
      </c>
      <c r="P202" s="113" t="n">
        <f aca="false">IFERROR((P198/P188),0)</f>
        <v>0</v>
      </c>
      <c r="Q202" s="113"/>
      <c r="R202" s="6"/>
      <c r="S202" s="114" t="n">
        <f aca="false">IFERROR((S198/S188),0)</f>
        <v>0</v>
      </c>
      <c r="T202" s="6"/>
      <c r="U202" s="6"/>
    </row>
    <row r="203" customFormat="false" ht="12.75" hidden="false" customHeight="false" outlineLevel="0" collapsed="false"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6"/>
      <c r="T203" s="6"/>
      <c r="U203" s="6"/>
    </row>
    <row r="204" customFormat="false" ht="12.75" hidden="false" customHeight="false" outlineLevel="0" collapsed="false"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T204" s="6"/>
      <c r="U204" s="6"/>
    </row>
    <row r="205" s="116" customFormat="true" ht="12.75" hidden="false" customHeight="false" outlineLevel="0" collapsed="false">
      <c r="B205" s="117"/>
      <c r="D205" s="118"/>
      <c r="E205" s="119"/>
      <c r="F205" s="119"/>
      <c r="G205" s="119"/>
      <c r="H205" s="119"/>
      <c r="S205" s="120"/>
      <c r="T205" s="121"/>
    </row>
    <row r="206" customFormat="false" ht="12.75" hidden="false" customHeight="false" outlineLevel="0" collapsed="false"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5"/>
      <c r="T206" s="28"/>
      <c r="U206" s="115"/>
    </row>
    <row r="207" customFormat="false" ht="12.75" hidden="false" customHeight="false" outlineLevel="0" collapsed="false">
      <c r="E207" s="115"/>
      <c r="F207" s="111"/>
      <c r="H207" s="111"/>
      <c r="T207" s="28"/>
    </row>
    <row r="208" customFormat="false" ht="12.75" hidden="false" customHeight="false" outlineLevel="0" collapsed="false">
      <c r="E208" s="115"/>
      <c r="F208" s="115"/>
      <c r="H208" s="115"/>
      <c r="K208" s="115"/>
      <c r="T208" s="28"/>
    </row>
    <row r="209" customFormat="false" ht="12.75" hidden="false" customHeight="false" outlineLevel="0" collapsed="false">
      <c r="F209" s="115"/>
      <c r="T209" s="28"/>
    </row>
    <row r="210" customFormat="false" ht="12.75" hidden="false" customHeight="false" outlineLevel="0" collapsed="false">
      <c r="T210" s="28"/>
    </row>
    <row r="211" customFormat="false" ht="12.75" hidden="false" customHeight="false" outlineLevel="0" collapsed="false">
      <c r="T211" s="28"/>
    </row>
    <row r="212" customFormat="false" ht="12.75" hidden="false" customHeight="false" outlineLevel="0" collapsed="false">
      <c r="T212" s="28"/>
    </row>
    <row r="213" customFormat="false" ht="12.75" hidden="false" customHeight="false" outlineLevel="0" collapsed="false">
      <c r="T213" s="28"/>
    </row>
    <row r="214" customFormat="false" ht="12.75" hidden="false" customHeight="false" outlineLevel="0" collapsed="false">
      <c r="T214" s="28"/>
    </row>
    <row r="215" customFormat="false" ht="12.75" hidden="false" customHeight="false" outlineLevel="0" collapsed="false">
      <c r="T215" s="28"/>
    </row>
    <row r="216" customFormat="false" ht="12.75" hidden="false" customHeight="false" outlineLevel="0" collapsed="false">
      <c r="T216" s="28"/>
    </row>
    <row r="217" customFormat="false" ht="12.75" hidden="false" customHeight="false" outlineLevel="0" collapsed="false">
      <c r="T217" s="28"/>
    </row>
    <row r="218" customFormat="false" ht="12.75" hidden="false" customHeight="false" outlineLevel="0" collapsed="false">
      <c r="T218" s="28"/>
    </row>
    <row r="219" customFormat="false" ht="12.75" hidden="false" customHeight="false" outlineLevel="0" collapsed="false">
      <c r="T219" s="28"/>
    </row>
    <row r="220" customFormat="false" ht="12.75" hidden="false" customHeight="false" outlineLevel="0" collapsed="false">
      <c r="T220" s="28"/>
    </row>
    <row r="221" customFormat="false" ht="12.75" hidden="false" customHeight="false" outlineLevel="0" collapsed="false">
      <c r="T221" s="28"/>
    </row>
    <row r="222" customFormat="false" ht="12.75" hidden="false" customHeight="false" outlineLevel="0" collapsed="false">
      <c r="T222" s="28"/>
    </row>
    <row r="223" customFormat="false" ht="12.75" hidden="false" customHeight="false" outlineLevel="0" collapsed="false">
      <c r="T223" s="28"/>
    </row>
    <row r="224" customFormat="false" ht="12.75" hidden="false" customHeight="false" outlineLevel="0" collapsed="false">
      <c r="T224" s="28"/>
    </row>
    <row r="225" customFormat="false" ht="12.75" hidden="false" customHeight="false" outlineLevel="0" collapsed="false">
      <c r="T225" s="28"/>
    </row>
    <row r="226" customFormat="false" ht="12.75" hidden="false" customHeight="false" outlineLevel="0" collapsed="false">
      <c r="T226" s="28"/>
    </row>
    <row r="227" customFormat="false" ht="12.75" hidden="false" customHeight="false" outlineLevel="0" collapsed="false">
      <c r="T227" s="28"/>
    </row>
    <row r="228" customFormat="false" ht="12.75" hidden="false" customHeight="false" outlineLevel="0" collapsed="false">
      <c r="T228" s="28"/>
    </row>
    <row r="229" customFormat="false" ht="12.75" hidden="false" customHeight="false" outlineLevel="0" collapsed="false">
      <c r="T229" s="28"/>
    </row>
    <row r="230" customFormat="false" ht="12.75" hidden="false" customHeight="false" outlineLevel="0" collapsed="false">
      <c r="T230" s="28"/>
    </row>
    <row r="231" customFormat="false" ht="12.75" hidden="false" customHeight="false" outlineLevel="0" collapsed="false">
      <c r="T231" s="28"/>
    </row>
    <row r="232" customFormat="false" ht="12.75" hidden="false" customHeight="false" outlineLevel="0" collapsed="false">
      <c r="T232" s="28"/>
    </row>
    <row r="233" customFormat="false" ht="12.75" hidden="false" customHeight="false" outlineLevel="0" collapsed="false">
      <c r="T233" s="28"/>
    </row>
    <row r="234" customFormat="false" ht="12.75" hidden="false" customHeight="false" outlineLevel="0" collapsed="false">
      <c r="T234" s="28"/>
    </row>
    <row r="235" customFormat="false" ht="12.75" hidden="false" customHeight="false" outlineLevel="0" collapsed="false">
      <c r="T235" s="28"/>
    </row>
    <row r="236" customFormat="false" ht="12.75" hidden="false" customHeight="false" outlineLevel="0" collapsed="false">
      <c r="T236" s="28"/>
    </row>
    <row r="237" customFormat="false" ht="12.75" hidden="false" customHeight="false" outlineLevel="0" collapsed="false">
      <c r="T237" s="28"/>
    </row>
    <row r="238" customFormat="false" ht="12.75" hidden="false" customHeight="false" outlineLevel="0" collapsed="false">
      <c r="T238" s="28"/>
    </row>
    <row r="239" customFormat="false" ht="12.75" hidden="false" customHeight="false" outlineLevel="0" collapsed="false">
      <c r="T239" s="28"/>
    </row>
    <row r="240" customFormat="false" ht="12.75" hidden="false" customHeight="false" outlineLevel="0" collapsed="false">
      <c r="T240" s="28"/>
    </row>
    <row r="241" customFormat="false" ht="12.75" hidden="false" customHeight="false" outlineLevel="0" collapsed="false">
      <c r="T241" s="28"/>
    </row>
    <row r="242" customFormat="false" ht="12.75" hidden="false" customHeight="false" outlineLevel="0" collapsed="false">
      <c r="T242" s="28"/>
    </row>
    <row r="243" customFormat="false" ht="12.75" hidden="false" customHeight="false" outlineLevel="0" collapsed="false">
      <c r="T243" s="28"/>
    </row>
    <row r="244" customFormat="false" ht="12.75" hidden="false" customHeight="false" outlineLevel="0" collapsed="false">
      <c r="T244" s="28"/>
    </row>
    <row r="245" customFormat="false" ht="12.75" hidden="false" customHeight="false" outlineLevel="0" collapsed="false">
      <c r="T245" s="28"/>
    </row>
    <row r="246" customFormat="false" ht="12.75" hidden="false" customHeight="false" outlineLevel="0" collapsed="false">
      <c r="T246" s="28"/>
    </row>
    <row r="247" customFormat="false" ht="12.75" hidden="false" customHeight="false" outlineLevel="0" collapsed="false">
      <c r="T247" s="28"/>
    </row>
    <row r="248" customFormat="false" ht="12.75" hidden="false" customHeight="false" outlineLevel="0" collapsed="false">
      <c r="T248" s="28"/>
    </row>
    <row r="249" customFormat="false" ht="12.75" hidden="false" customHeight="false" outlineLevel="0" collapsed="false">
      <c r="T249" s="28"/>
    </row>
    <row r="250" customFormat="false" ht="12.75" hidden="false" customHeight="false" outlineLevel="0" collapsed="false">
      <c r="T250" s="28"/>
    </row>
    <row r="251" customFormat="false" ht="12.75" hidden="false" customHeight="false" outlineLevel="0" collapsed="false">
      <c r="T251" s="28"/>
    </row>
    <row r="252" customFormat="false" ht="12.75" hidden="false" customHeight="false" outlineLevel="0" collapsed="false">
      <c r="T252" s="28"/>
    </row>
    <row r="253" customFormat="false" ht="12.75" hidden="false" customHeight="false" outlineLevel="0" collapsed="false">
      <c r="T253" s="28"/>
    </row>
    <row r="254" customFormat="false" ht="12.75" hidden="false" customHeight="false" outlineLevel="0" collapsed="false">
      <c r="T254" s="28"/>
    </row>
    <row r="255" customFormat="false" ht="12.75" hidden="false" customHeight="false" outlineLevel="0" collapsed="false">
      <c r="T255" s="28"/>
    </row>
    <row r="256" customFormat="false" ht="12.75" hidden="false" customHeight="false" outlineLevel="0" collapsed="false">
      <c r="T256" s="28"/>
    </row>
    <row r="257" customFormat="false" ht="12.75" hidden="false" customHeight="false" outlineLevel="0" collapsed="false">
      <c r="T257" s="28"/>
    </row>
    <row r="258" customFormat="false" ht="12.75" hidden="false" customHeight="false" outlineLevel="0" collapsed="false">
      <c r="T258" s="28"/>
    </row>
    <row r="259" customFormat="false" ht="12.75" hidden="false" customHeight="false" outlineLevel="0" collapsed="false">
      <c r="T259" s="28"/>
    </row>
    <row r="260" customFormat="false" ht="12.75" hidden="false" customHeight="false" outlineLevel="0" collapsed="false">
      <c r="T260" s="28"/>
    </row>
    <row r="439" customFormat="false" ht="12.75" hidden="false" customHeight="false" outlineLevel="0" collapsed="false">
      <c r="E439" s="1" t="s">
        <v>36</v>
      </c>
    </row>
    <row r="1048576" customFormat="false" ht="12.8" hidden="false" customHeight="false" outlineLevel="0" collapsed="false"/>
  </sheetData>
  <sheetProtection sheet="true" password="a1ce" objects="true" scenarios="true"/>
  <mergeCells count="4">
    <mergeCell ref="E2:L2"/>
    <mergeCell ref="E3:L3"/>
    <mergeCell ref="E4:L4"/>
    <mergeCell ref="E5:L5"/>
  </mergeCells>
  <printOptions headings="false" gridLines="false" gridLinesSet="true" horizontalCentered="false" verticalCentered="false"/>
  <pageMargins left="0.118055555555556" right="0.118055555555556" top="0.157638888888889" bottom="0.157638888888889" header="0.511811023622047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2025-12-08T09:41:23Z</dcterms:created>
  <dc:creator>Salsabila Husnul Fatimah</dc:creator>
  <dc:description/>
  <dc:language>en-US</dc:language>
  <cp:lastModifiedBy/>
  <dcterms:modified xsi:type="dcterms:W3CDTF">2026-01-30T09:10:19Z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