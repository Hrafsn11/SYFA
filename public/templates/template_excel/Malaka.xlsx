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m SBU" sheetId="1" state="visible" r:id="rId3"/>
  </sheets>
  <definedNames>
    <definedName function="false" hidden="false" localSheetId="0" name="_xlnm.Print_Titles" vbProcedure="false">'Mom SBU'!$2:$8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<sst xmlns="http://schemas.openxmlformats.org/spreadsheetml/2006/main" count="201" uniqueCount="192">
  <si>
    <t xml:space="preserve">Laporan Laba Rugi </t>
  </si>
  <si>
    <t xml:space="preserve">MALAKA</t>
  </si>
  <si>
    <t xml:space="preserve">MALAKA RESEARCH</t>
  </si>
  <si>
    <t xml:space="preserve">KETERANGAN</t>
  </si>
  <si>
    <t xml:space="preserve">Januari</t>
  </si>
  <si>
    <t xml:space="preserve">Februari</t>
  </si>
  <si>
    <t xml:space="preserve">Maret</t>
  </si>
  <si>
    <t xml:space="preserve">April</t>
  </si>
  <si>
    <t xml:space="preserve">Mei</t>
  </si>
  <si>
    <t xml:space="preserve">Juni</t>
  </si>
  <si>
    <t xml:space="preserve">Juli</t>
  </si>
  <si>
    <t xml:space="preserve">Agustus</t>
  </si>
  <si>
    <t xml:space="preserve">September</t>
  </si>
  <si>
    <t xml:space="preserve">Oktober</t>
  </si>
  <si>
    <t xml:space="preserve">November</t>
  </si>
  <si>
    <t xml:space="preserve">December</t>
  </si>
  <si>
    <t xml:space="preserve">Total</t>
  </si>
  <si>
    <t xml:space="preserve">A</t>
  </si>
  <si>
    <t xml:space="preserve">PENDAPATAN</t>
  </si>
  <si>
    <t xml:space="preserve">Pendapatan Operasional</t>
  </si>
  <si>
    <t xml:space="preserve">Pendapatan Operasional Lain</t>
  </si>
  <si>
    <t xml:space="preserve">Pendapatan Jasa Digital</t>
  </si>
  <si>
    <t xml:space="preserve">Pendapatan Jasa Koperasi</t>
  </si>
  <si>
    <t xml:space="preserve">Penjualan Panen Segar</t>
  </si>
  <si>
    <t xml:space="preserve">Pendapatan Trekking.id</t>
  </si>
  <si>
    <t xml:space="preserve">Potongan Penjualan</t>
  </si>
  <si>
    <t xml:space="preserve">Return Penjualan</t>
  </si>
  <si>
    <t xml:space="preserve">Discount Penjualan</t>
  </si>
  <si>
    <t xml:space="preserve">TOTAL PENDAPATAN OPERASIONAL </t>
  </si>
  <si>
    <t xml:space="preserve">B</t>
  </si>
  <si>
    <t xml:space="preserve">BIAYA LANGSUNG</t>
  </si>
  <si>
    <t xml:space="preserve">Tenaga Kerja Langsung</t>
  </si>
  <si>
    <t xml:space="preserve">Biaya Tenaga Ahli</t>
  </si>
  <si>
    <t xml:space="preserve">Komisi Penjualan</t>
  </si>
  <si>
    <t xml:space="preserve">Gaji Pegawai Langsung</t>
  </si>
  <si>
    <t xml:space="preserve">Tunjangan Pegawai</t>
  </si>
  <si>
    <t xml:space="preserve"> </t>
  </si>
  <si>
    <t xml:space="preserve">Project</t>
  </si>
  <si>
    <t xml:space="preserve">HPP</t>
  </si>
  <si>
    <t xml:space="preserve">Mitra Malaka</t>
  </si>
  <si>
    <t xml:space="preserve">Biaya Operasional Lain -lain</t>
  </si>
  <si>
    <t xml:space="preserve">  </t>
  </si>
  <si>
    <t xml:space="preserve">Biaya Transportasi Operasional</t>
  </si>
  <si>
    <t xml:space="preserve">Perawatan Kendaraan</t>
  </si>
  <si>
    <t xml:space="preserve">Biaya Administrasi Kendaraan</t>
  </si>
  <si>
    <t xml:space="preserve">Biaya Perjalanan Dinas</t>
  </si>
  <si>
    <t xml:space="preserve">Biaya Sertifikasi</t>
  </si>
  <si>
    <t xml:space="preserve">Perangkat atau Peralatan</t>
  </si>
  <si>
    <t xml:space="preserve">Penggantian Internet</t>
  </si>
  <si>
    <t xml:space="preserve">Biaya Operasional Lainnya</t>
  </si>
  <si>
    <t xml:space="preserve">Biaya Adm Bank Garansi</t>
  </si>
  <si>
    <t xml:space="preserve">Biaya Adm (Operasional)</t>
  </si>
  <si>
    <t xml:space="preserve">Biaya administrasi Legalitas</t>
  </si>
  <si>
    <t xml:space="preserve">Biaya Manage Service</t>
  </si>
  <si>
    <t xml:space="preserve">Biaya Pegawai Operasional</t>
  </si>
  <si>
    <t xml:space="preserve">Gaji Karyawan Operasional</t>
  </si>
  <si>
    <t xml:space="preserve">Lembur Karyawan Operasional</t>
  </si>
  <si>
    <t xml:space="preserve">Tunjangan Hari Raya Operasional</t>
  </si>
  <si>
    <t xml:space="preserve">Tunjangan/ Komisi, Bonus atau Fee Operasional</t>
  </si>
  <si>
    <t xml:space="preserve">Beban Pegawai Magang Operasional</t>
  </si>
  <si>
    <t xml:space="preserve">Tunjangan Kehadiran Operasional</t>
  </si>
  <si>
    <t xml:space="preserve">Tunjangan Kesehatan (Medical) Operasional</t>
  </si>
  <si>
    <t xml:space="preserve">Tunjangan BPJS Operasional</t>
  </si>
  <si>
    <t xml:space="preserve">Tunjangan PPH Pasal 21 Operasional</t>
  </si>
  <si>
    <t xml:space="preserve">Tunjangan Pensiun Operasional</t>
  </si>
  <si>
    <t xml:space="preserve">Tunjangan Telekomunikasi Operasional</t>
  </si>
  <si>
    <t xml:space="preserve">Tunjangan Lainnya/Tunjangan Koperasi Operasional</t>
  </si>
  <si>
    <t xml:space="preserve">Biaya Pegawai Sales &amp; Marketing</t>
  </si>
  <si>
    <t xml:space="preserve">Gaji Karyawan Sales &amp; Marketing</t>
  </si>
  <si>
    <t xml:space="preserve">Lembur Karyawan Sales &amp; Marketing</t>
  </si>
  <si>
    <t xml:space="preserve">Tunjangan Hari Raya Sales &amp; Marketing</t>
  </si>
  <si>
    <t xml:space="preserve">Tunjangan/ Komisi, Bonus atau Fee Sales &amp; Marketing</t>
  </si>
  <si>
    <t xml:space="preserve">Beban Pegawai Magang Sales &amp; Marketing</t>
  </si>
  <si>
    <t xml:space="preserve">Tunjangan Kehadiran Sales &amp; Marketing</t>
  </si>
  <si>
    <t xml:space="preserve">Tunjangan Kesehatan (Medical) Sales &amp; Marketing</t>
  </si>
  <si>
    <t xml:space="preserve">Tunjangan BPJS Sales &amp; Marketing</t>
  </si>
  <si>
    <t xml:space="preserve">Tunjangan PPH Pasal 21 Sales &amp; Marketing</t>
  </si>
  <si>
    <t xml:space="preserve">Tunjangan Pensiun Sales &amp; Marketing</t>
  </si>
  <si>
    <t xml:space="preserve">Tunjangan Telekomunikasi Sales &amp; Marketing</t>
  </si>
  <si>
    <t xml:space="preserve">Tunjangan Lainnya/Tunjangan Koperasi Sales &amp; Marketing</t>
  </si>
  <si>
    <t xml:space="preserve">TOTAL BIAYA OPERASIONAL</t>
  </si>
  <si>
    <t xml:space="preserve">LABA  OPERASIONAL</t>
  </si>
  <si>
    <t xml:space="preserve">Margin</t>
  </si>
  <si>
    <t xml:space="preserve">C</t>
  </si>
  <si>
    <t xml:space="preserve">BIAYA UMUM &amp; ADMINISTRASI</t>
  </si>
  <si>
    <t xml:space="preserve">Biaya Pegawai</t>
  </si>
  <si>
    <t xml:space="preserve">Gaji Karyawan</t>
  </si>
  <si>
    <t xml:space="preserve">Lembur Karyawan</t>
  </si>
  <si>
    <t xml:space="preserve">Tunjangan Hari Raya</t>
  </si>
  <si>
    <t xml:space="preserve">Tunjangan/Komisi, Bonus atau Fee</t>
  </si>
  <si>
    <t xml:space="preserve">Beban Pegawai Magang</t>
  </si>
  <si>
    <t xml:space="preserve">Tunjangan Kehadiran</t>
  </si>
  <si>
    <t xml:space="preserve">Tunjangan Kesehatan (Medical)</t>
  </si>
  <si>
    <t xml:space="preserve">Tunjangan BPJS</t>
  </si>
  <si>
    <t xml:space="preserve">Tunjangan PPh Pasal 21</t>
  </si>
  <si>
    <t xml:space="preserve">Tunjangan Pensiun</t>
  </si>
  <si>
    <t xml:space="preserve">Pesangon Karyawan</t>
  </si>
  <si>
    <t xml:space="preserve">Tunjangan Telekomunikasi</t>
  </si>
  <si>
    <t xml:space="preserve">Tunjangan Lainnya/Tunjangan Koperasi Manajemen</t>
  </si>
  <si>
    <t xml:space="preserve">Tunjangan Lainnya/Tunjangan Koperasi Supporting</t>
  </si>
  <si>
    <t xml:space="preserve">Transportasi dan Perjalanan Dinas</t>
  </si>
  <si>
    <t xml:space="preserve">Beban Transportasi Umum</t>
  </si>
  <si>
    <t xml:space="preserve">Beban Perjalanan Dinas Umum</t>
  </si>
  <si>
    <t xml:space="preserve">Biaya Kantor</t>
  </si>
  <si>
    <t xml:space="preserve">Beban Peralatan Kantor &amp; Perangkat Kerja</t>
  </si>
  <si>
    <t xml:space="preserve">Beban Alat Tulis Kantor</t>
  </si>
  <si>
    <t xml:space="preserve">Beban Listrik &amp; PAM</t>
  </si>
  <si>
    <t xml:space="preserve">Beban Telepon dan Internet Kantor</t>
  </si>
  <si>
    <t xml:space="preserve">Beban Ponsel</t>
  </si>
  <si>
    <t xml:space="preserve">Beban Fotocopy dan Cetak</t>
  </si>
  <si>
    <t xml:space="preserve">Beban Sewa Kantor</t>
  </si>
  <si>
    <t xml:space="preserve">Beban Pengiriman</t>
  </si>
  <si>
    <t xml:space="preserve">Beban Materai</t>
  </si>
  <si>
    <t xml:space="preserve">Beban Kantor Lainnya</t>
  </si>
  <si>
    <t xml:space="preserve">Beban Perlengkapan Kantor</t>
  </si>
  <si>
    <t xml:space="preserve">Biaya Pemeliharaan</t>
  </si>
  <si>
    <t xml:space="preserve">Beban Pemeliharaan Kendaraan</t>
  </si>
  <si>
    <t xml:space="preserve">Beban Adm Kendaraan</t>
  </si>
  <si>
    <t xml:space="preserve">Beban Asuransi Aset</t>
  </si>
  <si>
    <t xml:space="preserve">Beban Pemeliharaan Peralatan Kantor</t>
  </si>
  <si>
    <t xml:space="preserve">Beban Pemeliharaan Kantor</t>
  </si>
  <si>
    <t xml:space="preserve">Biaya Rumah Tangga</t>
  </si>
  <si>
    <t xml:space="preserve">Beban Rapat</t>
  </si>
  <si>
    <t xml:space="preserve">Beban Dekorasi</t>
  </si>
  <si>
    <t xml:space="preserve">Beban Pelatihan, Seminar, dan Pendidikan Internal</t>
  </si>
  <si>
    <t xml:space="preserve">Beban Pantry</t>
  </si>
  <si>
    <t xml:space="preserve">Biaya Promosi</t>
  </si>
  <si>
    <t xml:space="preserve">Beban Iklan</t>
  </si>
  <si>
    <t xml:space="preserve">Beban Cetak</t>
  </si>
  <si>
    <t xml:space="preserve">Beban Marketing dan Promosi</t>
  </si>
  <si>
    <t xml:space="preserve">Beban Entertainment</t>
  </si>
  <si>
    <t xml:space="preserve">Beban Umum Lain-lain</t>
  </si>
  <si>
    <t xml:space="preserve">Bingkisan atau Parcel</t>
  </si>
  <si>
    <t xml:space="preserve">Sumbangan</t>
  </si>
  <si>
    <t xml:space="preserve">Beban Perizinan</t>
  </si>
  <si>
    <t xml:space="preserve">Beban Umum Lainnya</t>
  </si>
  <si>
    <t xml:space="preserve">Internal Charges</t>
  </si>
  <si>
    <t xml:space="preserve">IT Charges</t>
  </si>
  <si>
    <t xml:space="preserve">Digital Charge</t>
  </si>
  <si>
    <t xml:space="preserve">HR Charges</t>
  </si>
  <si>
    <t xml:space="preserve">Coaching &amp; Mentoring</t>
  </si>
  <si>
    <t xml:space="preserve">GA Charge</t>
  </si>
  <si>
    <t xml:space="preserve">Accounting Charge</t>
  </si>
  <si>
    <t xml:space="preserve">Penyusutan dan Amortisasi</t>
  </si>
  <si>
    <t xml:space="preserve">Penyusutan Bangunan</t>
  </si>
  <si>
    <t xml:space="preserve">Penyusutan Interior dan Renovasi</t>
  </si>
  <si>
    <t xml:space="preserve">Penyusutan Furniture</t>
  </si>
  <si>
    <t xml:space="preserve">Penyusutan Peralatan Kantor</t>
  </si>
  <si>
    <t xml:space="preserve">Penyusutan Kendaraan</t>
  </si>
  <si>
    <t xml:space="preserve">Amortisasi Aktiva Tak Berwujud</t>
  </si>
  <si>
    <t xml:space="preserve">TOTAL BIAYA UMUM dan ADMINISTRASI </t>
  </si>
  <si>
    <t xml:space="preserve">LABA / (RUGI) [A-B-C]</t>
  </si>
  <si>
    <t xml:space="preserve">D</t>
  </si>
  <si>
    <t xml:space="preserve">Pendapatan &amp; (Biaya) Non Operasional</t>
  </si>
  <si>
    <t xml:space="preserve">Pendapatan Non Operasional</t>
  </si>
  <si>
    <t xml:space="preserve">Pendapatan Bunga</t>
  </si>
  <si>
    <t xml:space="preserve">Pendapatan Deposit</t>
  </si>
  <si>
    <t xml:space="preserve">Keuntungan Selisih Kurs</t>
  </si>
  <si>
    <t xml:space="preserve">Pendapatan Lain</t>
  </si>
  <si>
    <t xml:space="preserve">Keuntungan Atas Penjualan Aktiva Tetap</t>
  </si>
  <si>
    <t xml:space="preserve">TOTAL PENDAPATAN Non - OPERASIONAL </t>
  </si>
  <si>
    <t xml:space="preserve">(Biaya ) Non Operasional </t>
  </si>
  <si>
    <t xml:space="preserve">Beban Bunga</t>
  </si>
  <si>
    <t xml:space="preserve">Beban Administrasi Bank</t>
  </si>
  <si>
    <t xml:space="preserve">Kerugian Selisih Kurs</t>
  </si>
  <si>
    <t xml:space="preserve">Kerugian Atas Penjualan Aktiva Tetap</t>
  </si>
  <si>
    <t xml:space="preserve">Beban Bunga Sewa Guna Usaha</t>
  </si>
  <si>
    <t xml:space="preserve">Beban Lain-lain</t>
  </si>
  <si>
    <t xml:space="preserve">TOTAL (Biaya) Non Operasional </t>
  </si>
  <si>
    <t xml:space="preserve">Total Pendapatan &amp; (Biaya) Non Operasional</t>
  </si>
  <si>
    <t xml:space="preserve">E</t>
  </si>
  <si>
    <t xml:space="preserve">Laba/Rugi sebelum pajak  [ A - B - C - D ]</t>
  </si>
  <si>
    <t xml:space="preserve">F</t>
  </si>
  <si>
    <t xml:space="preserve">PAJAK </t>
  </si>
  <si>
    <t xml:space="preserve">Pajak Penghasilan Badan</t>
  </si>
  <si>
    <t xml:space="preserve">Pajak Lainnya</t>
  </si>
  <si>
    <t xml:space="preserve">G</t>
  </si>
  <si>
    <t xml:space="preserve">Laba/Rugi sesudah pajak  [ E - F ]</t>
  </si>
  <si>
    <t xml:space="preserve">Pendapatan </t>
  </si>
  <si>
    <t xml:space="preserve">Biaya langsung gaji</t>
  </si>
  <si>
    <t xml:space="preserve">Biaya langsung non gaji</t>
  </si>
  <si>
    <t xml:space="preserve">Laba Kotor</t>
  </si>
  <si>
    <t xml:space="preserve">Biaya pegawai</t>
  </si>
  <si>
    <t xml:space="preserve">Biaya umum dan administrasi</t>
  </si>
  <si>
    <t xml:space="preserve">Laba Sebelum Pajak dan Bunga</t>
  </si>
  <si>
    <t xml:space="preserve">Pendapatan (Biaya) Lainnya</t>
  </si>
  <si>
    <t xml:space="preserve">Operating Profit</t>
  </si>
  <si>
    <t xml:space="preserve">Pajak</t>
  </si>
  <si>
    <t xml:space="preserve">Net Profit (Loss)</t>
  </si>
  <si>
    <t xml:space="preserve">Gross Margin</t>
  </si>
  <si>
    <t xml:space="preserve">Operating Margin</t>
  </si>
  <si>
    <t xml:space="preserve">Net Margin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</si>
</sst>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[$Rp-421]* #,##0.00_);_([$Rp-421]* \(#,##0.00\);_([$Rp-421]* \-??_);_(@_)"/>
    <numFmt numFmtId="166" formatCode="_(* #,##0_);_(* \(#,##0\);_(* \-_);_(@_)"/>
    <numFmt numFmtId="167" formatCode="m/d/yyyy"/>
    <numFmt numFmtId="168" formatCode="_(* #,##0.00_);_(* \(#,##0.00\);_(* \-??_);_(@_)"/>
    <numFmt numFmtId="169" formatCode="0%"/>
    <numFmt numFmtId="170" formatCode="0.00%"/>
    <numFmt numFmtId="171" formatCode="#,##0.00_);\(#,##0.00\)"/>
    <numFmt numFmtId="172" formatCode="_(* #,##0_);_(* \(#,##0\);_(* \-??_);_(@_)"/>
    <numFmt numFmtId="173" formatCode="_-* #,##0.00_-;\-* #,##0.00_-;_-* \-??_-;_-@_-"/>
  </numFmts>
  <fonts count="14">
    <font>
      <sz val="8"/>
      <color theme="1"/>
      <name val="Tahoma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8"/>
      <name val="Arial Narrow"/>
      <family val="2"/>
      <charset val="1"/>
    </font>
    <font>
      <b val="true"/>
      <sz val="8"/>
      <name val="Arial Narrow"/>
      <family val="2"/>
      <charset val="1"/>
    </font>
    <font>
      <b val="true"/>
      <sz val="14"/>
      <name val="Arial Narrow"/>
      <family val="2"/>
      <charset val="1"/>
    </font>
    <font>
      <b val="true"/>
      <sz val="16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b val="true"/>
      <sz val="11"/>
      <color theme="0"/>
      <name val="Arial Narrow"/>
      <family val="2"/>
      <charset val="1"/>
    </font>
    <font>
      <b val="true"/>
      <sz val="14"/>
      <color theme="0"/>
      <name val="Arial Narrow"/>
      <family val="2"/>
      <charset val="1"/>
    </font>
    <font>
      <b val="true"/>
      <sz val="10"/>
      <color theme="0"/>
      <name val="Arial Narrow"/>
      <family val="2"/>
      <charset val="1"/>
    </font>
    <font>
      <b val="true"/>
      <u val="single"/>
      <sz val="8"/>
      <name val="Arial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-0.25"/>
        <bgColor rgb="FFFF9900"/>
      </patternFill>
    </fill>
    <fill>
      <patternFill patternType="solid">
        <fgColor rgb="FFFFFF00"/>
        <bgColor rgb="FFFFFF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medium">
        <color rgb="FF808080"/>
      </left>
      <right style="thin">
        <color rgb="FF808080"/>
      </right>
      <top style="thin">
        <color rgb="FF808080"/>
      </top>
      <bottom style="dashed">
        <color rgb="FF808080"/>
      </bottom>
      <diagonal/>
    </border>
    <border diagonalUp="false" diagonalDown="false">
      <left style="medium">
        <color theme="0" tint="-0.5"/>
      </left>
      <right style="thin">
        <color theme="0" tint="-0.5"/>
      </right>
      <top/>
      <bottom style="dashed">
        <color theme="0" tint="-0.5"/>
      </bottom>
      <diagonal/>
    </border>
    <border diagonalUp="false" diagonalDown="false">
      <left style="medium">
        <color rgb="FF808080"/>
      </left>
      <right style="thin">
        <color rgb="FF808080"/>
      </right>
      <top style="dashed">
        <color rgb="FF808080"/>
      </top>
      <bottom style="dashed">
        <color rgb="FF808080"/>
      </bottom>
      <diagonal/>
    </border>
    <border diagonalUp="false" diagonalDown="false">
      <left style="medium">
        <color rgb="FF808080"/>
      </left>
      <right style="thin">
        <color rgb="FF808080"/>
      </right>
      <top style="dashed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808080"/>
      </left>
      <right style="thin">
        <color rgb="FF808080"/>
      </right>
      <top style="dashed">
        <color rgb="FF808080"/>
      </top>
      <bottom/>
      <diagonal/>
    </border>
    <border diagonalUp="false" diagonalDown="false">
      <left style="medium">
        <color rgb="FF808080"/>
      </left>
      <right style="thin">
        <color rgb="FF808080"/>
      </right>
      <top/>
      <bottom/>
      <diagonal/>
    </border>
    <border diagonalUp="false" diagonalDown="false">
      <left style="medium">
        <color theme="0" tint="-0.5"/>
      </left>
      <right style="thin">
        <color theme="0" tint="-0.5"/>
      </right>
      <top style="medium">
        <color theme="0" tint="-0.5"/>
      </top>
      <bottom style="dashed">
        <color theme="0" tint="-0.5"/>
      </bottom>
      <diagonal/>
    </border>
    <border diagonalUp="false" diagonalDown="false">
      <left style="medium">
        <color theme="0" tint="-0.5"/>
      </left>
      <right style="thin">
        <color theme="0" tint="-0.5"/>
      </right>
      <top style="dashed">
        <color theme="0" tint="-0.5"/>
      </top>
      <bottom style="medium">
        <color theme="0" tint="-0.5"/>
      </bottom>
      <diagonal/>
    </border>
    <border diagonalUp="false" diagonalDown="false">
      <left style="medium">
        <color rgb="FF808080"/>
      </left>
      <right style="dashed">
        <color theme="0" tint="-0.15"/>
      </right>
      <top style="dashed">
        <color theme="0" tint="-0.15"/>
      </top>
      <bottom style="dashed">
        <color theme="0" tint="-0.15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>
        <color theme="0" tint="-0.5"/>
      </left>
      <right style="thin">
        <color theme="0" tint="-0.5"/>
      </right>
      <top style="medium">
        <color theme="0" tint="-0.5"/>
      </top>
      <bottom style="medium">
        <color theme="0" tint="-0.5"/>
      </bottom>
      <diagonal/>
    </border>
    <border diagonalUp="false" diagonalDown="false"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 diagonalUp="false" diagonalDown="false">
      <left style="medium">
        <color rgb="FF808080"/>
      </left>
      <right style="medium">
        <color rgb="FF808080"/>
      </right>
      <top style="medium">
        <color rgb="FF808080"/>
      </top>
      <bottom style="dashed">
        <color rgb="FF808080"/>
      </bottom>
      <diagonal/>
    </border>
    <border diagonalUp="false" diagonalDown="false">
      <left style="medium">
        <color rgb="FF808080"/>
      </left>
      <right style="medium">
        <color rgb="FF808080"/>
      </right>
      <top style="dashed">
        <color rgb="FF808080"/>
      </top>
      <bottom style="medium">
        <color rgb="FF808080"/>
      </bottom>
      <diagonal/>
    </border>
    <border diagonalUp="false" diagonalDown="false">
      <left style="medium">
        <color rgb="FF808080"/>
      </left>
      <right style="thin">
        <color rgb="FF808080"/>
      </right>
      <top/>
      <bottom style="medium">
        <color rgb="FF808080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2" borderId="0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4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5" fillId="2" borderId="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2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6" fillId="2" borderId="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2" borderId="2" xfId="20" applyFont="true" applyBorder="true" applyAlignment="true" applyProtection="true">
      <alignment horizontal="left" vertical="center" textRotation="0" wrapText="false" indent="2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2" borderId="0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7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8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6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6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2" borderId="1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2" borderId="1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4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4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5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4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4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7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6" fillId="2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4" borderId="8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4" borderId="4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2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" fillId="2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3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0" xfId="2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2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4" borderId="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5" fillId="2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2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6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2" borderId="6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73" fontId="5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72" fontId="5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6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  <cellStyle name="Normal_ratio_index" xfId="21"/>
    <cellStyle name="Excel Built-in Comma [0] 1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46C0A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0" t="0" r="0" b="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0" t="0" r="0" b="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O43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8" topLeftCell="D174" activePane="bottomRight" state="frozen"/>
      <selection pane="topLeft" activeCell="A1" activeCellId="0" sqref="A1"/>
      <selection pane="topRight" activeCell="D1" activeCellId="0" sqref="D1"/>
      <selection pane="bottomLeft" activeCell="A174" activeCellId="0" sqref="A174"/>
      <selection pane="bottomRight" activeCell="E178" activeCellId="0" sqref="E178"/>
    </sheetView>
  </sheetViews>
  <sheetFormatPr defaultColWidth="9.33203125" defaultRowHeight="12.75" zeroHeight="false" outlineLevelRow="2" outlineLevelCol="0"/>
  <cols>
    <col collapsed="false" customWidth="true" hidden="false" outlineLevel="0" max="1" min="1" style="1" width="1.51"/>
    <col collapsed="false" customWidth="true" hidden="false" outlineLevel="0" max="2" min="2" style="2" width="2.5"/>
    <col collapsed="false" customWidth="true" hidden="false" outlineLevel="0" max="3" min="3" style="1" width="36.33"/>
    <col collapsed="false" customWidth="true" hidden="false" outlineLevel="0" max="4" min="4" style="3" width="2.83"/>
    <col collapsed="false" customWidth="true" hidden="false" outlineLevel="0" max="5" min="5" style="1" width="15.66"/>
    <col collapsed="false" customWidth="true" hidden="false" outlineLevel="0" max="7" min="6" style="1" width="17.16"/>
    <col collapsed="false" customWidth="true" hidden="false" outlineLevel="0" max="8" min="8" style="1" width="16.83"/>
    <col collapsed="false" customWidth="true" hidden="false" outlineLevel="0" max="10" min="9" style="1" width="17.16"/>
    <col collapsed="false" customWidth="true" hidden="false" outlineLevel="0" max="11" min="11" style="1" width="16.83"/>
    <col collapsed="false" customWidth="true" hidden="false" outlineLevel="0" max="16" min="12" style="1" width="15.66"/>
    <col collapsed="false" customWidth="true" hidden="false" outlineLevel="0" max="18" min="17" style="1" width="3.16"/>
    <col collapsed="false" customWidth="true" hidden="false" outlineLevel="0" max="19" min="19" style="1" width="19"/>
    <col collapsed="false" customWidth="true" hidden="true" outlineLevel="0" max="20" min="20" style="1" width="17.66"/>
    <col collapsed="false" customWidth="true" hidden="true" outlineLevel="0" max="21" min="21" style="1" width="17"/>
    <col collapsed="false" customWidth="true" hidden="true" outlineLevel="0" max="22" min="22" style="1" width="19"/>
    <col collapsed="false" customWidth="true" hidden="true" outlineLevel="0" max="23" min="23" style="1" width="21.66"/>
    <col collapsed="false" customWidth="true" hidden="false" outlineLevel="0" max="24" min="24" style="1" width="9.66"/>
    <col collapsed="false" customWidth="true" hidden="false" outlineLevel="0" max="25" min="25" style="1" width="10.83"/>
    <col collapsed="false" customWidth="true" hidden="false" outlineLevel="0" max="26" min="26" style="1" width="10"/>
    <col collapsed="false" customWidth="true" hidden="false" outlineLevel="0" max="28" min="27" style="1" width="10.33"/>
    <col collapsed="false" customWidth="true" hidden="false" outlineLevel="0" max="29" min="29" style="1" width="10.83"/>
    <col collapsed="false" customWidth="true" hidden="false" outlineLevel="0" max="30" min="30" style="1" width="9.51"/>
    <col collapsed="false" customWidth="false" hidden="false" outlineLevel="0" max="16384" min="31" style="1" width="9.33"/>
  </cols>
  <sheetData>
    <row r="1" customFormat="false" ht="12.75" hidden="false" customHeight="false" outlineLevel="0" collapsed="false">
      <c r="E1" s="4"/>
      <c r="F1" s="5"/>
    </row>
    <row r="2" s="6" customFormat="true" ht="12.75" hidden="false" customHeight="false" outlineLevel="0" collapsed="false">
      <c r="B2" s="7"/>
      <c r="C2" s="8"/>
      <c r="D2" s="9"/>
      <c r="E2" s="10"/>
      <c r="F2" s="10"/>
      <c r="G2" s="10"/>
      <c r="H2" s="10"/>
      <c r="I2" s="10"/>
      <c r="J2" s="10"/>
      <c r="K2" s="10"/>
      <c r="L2" s="10"/>
      <c r="M2" s="11"/>
      <c r="N2" s="11"/>
      <c r="O2" s="11"/>
      <c r="P2" s="11"/>
      <c r="Q2" s="11"/>
    </row>
    <row r="3" s="6" customFormat="true" ht="23.25" hidden="false" customHeight="true" outlineLevel="0" collapsed="false">
      <c r="B3" s="7"/>
      <c r="C3" s="12"/>
      <c r="D3" s="11"/>
      <c r="E3" s="13" t="s">
        <v>0</v>
      </c>
      <c r="F3" s="13"/>
      <c r="G3" s="13"/>
      <c r="H3" s="13"/>
      <c r="I3" s="13"/>
      <c r="J3" s="13"/>
      <c r="K3" s="13"/>
      <c r="L3" s="13"/>
      <c r="M3" s="14"/>
      <c r="N3" s="14"/>
      <c r="O3" s="14"/>
      <c r="P3" s="14"/>
      <c r="Q3" s="14"/>
    </row>
    <row r="4" s="6" customFormat="true" ht="16.5" hidden="false" customHeight="true" outlineLevel="0" collapsed="false">
      <c r="B4" s="7"/>
      <c r="C4" s="12"/>
      <c r="D4" s="11"/>
      <c r="E4" s="15" t="s">
        <v>1</v>
      </c>
      <c r="F4" s="15" t="s">
        <v>2</v>
      </c>
      <c r="G4" s="15" t="s">
        <v>2</v>
      </c>
      <c r="H4" s="15" t="s">
        <v>2</v>
      </c>
      <c r="I4" s="15" t="s">
        <v>2</v>
      </c>
      <c r="J4" s="15" t="s">
        <v>2</v>
      </c>
      <c r="K4" s="15" t="s">
        <v>2</v>
      </c>
      <c r="L4" s="15" t="s">
        <v>2</v>
      </c>
      <c r="M4" s="16"/>
      <c r="N4" s="16"/>
      <c r="O4" s="16"/>
      <c r="P4" s="16"/>
      <c r="Q4" s="16"/>
    </row>
    <row r="5" s="6" customFormat="true" ht="18" hidden="false" customHeight="true" outlineLevel="0" collapsed="false">
      <c r="B5" s="7"/>
      <c r="C5" s="11"/>
      <c r="D5" s="11"/>
      <c r="E5" s="13" t="n">
        <v>2026</v>
      </c>
      <c r="F5" s="13"/>
      <c r="G5" s="13"/>
      <c r="H5" s="13"/>
      <c r="I5" s="13"/>
      <c r="J5" s="13"/>
      <c r="K5" s="13"/>
      <c r="L5" s="13"/>
      <c r="M5" s="14"/>
      <c r="N5" s="14"/>
      <c r="O5" s="14"/>
      <c r="P5" s="14"/>
      <c r="Q5" s="14"/>
    </row>
    <row r="6" s="17" customFormat="true" ht="12.75" hidden="false" customHeight="false" outlineLevel="0" collapsed="false">
      <c r="B6" s="18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</row>
    <row r="7" s="17" customFormat="true" ht="9.75" hidden="false" customHeight="true" outlineLevel="0" collapsed="false">
      <c r="B7" s="18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</row>
    <row r="8" customFormat="false" ht="20.25" hidden="false" customHeight="true" outlineLevel="0" collapsed="false">
      <c r="B8" s="7"/>
      <c r="C8" s="20" t="s">
        <v>3</v>
      </c>
      <c r="D8" s="21"/>
      <c r="E8" s="22" t="s">
        <v>4</v>
      </c>
      <c r="F8" s="22" t="s">
        <v>5</v>
      </c>
      <c r="G8" s="22" t="s">
        <v>6</v>
      </c>
      <c r="H8" s="22" t="s">
        <v>7</v>
      </c>
      <c r="I8" s="22" t="s">
        <v>8</v>
      </c>
      <c r="J8" s="22" t="s">
        <v>9</v>
      </c>
      <c r="K8" s="22" t="s">
        <v>10</v>
      </c>
      <c r="L8" s="22" t="s">
        <v>11</v>
      </c>
      <c r="M8" s="22" t="s">
        <v>12</v>
      </c>
      <c r="N8" s="22" t="s">
        <v>13</v>
      </c>
      <c r="O8" s="22" t="s">
        <v>14</v>
      </c>
      <c r="P8" s="22" t="s">
        <v>15</v>
      </c>
      <c r="Q8" s="22"/>
      <c r="R8" s="23"/>
      <c r="S8" s="24" t="s">
        <v>16</v>
      </c>
      <c r="T8" s="23"/>
      <c r="U8" s="23"/>
      <c r="V8" s="23"/>
      <c r="W8" s="23"/>
      <c r="X8" s="25"/>
      <c r="Y8" s="25"/>
      <c r="Z8" s="25"/>
      <c r="AA8" s="25"/>
      <c r="AB8" s="25"/>
      <c r="AC8" s="25"/>
    </row>
    <row r="9" customFormat="false" ht="3" hidden="false" customHeight="true" outlineLevel="0" collapsed="false">
      <c r="C9" s="9"/>
      <c r="D9" s="19"/>
    </row>
    <row r="10" s="6" customFormat="true" ht="18" hidden="false" customHeight="true" outlineLevel="0" collapsed="false">
      <c r="B10" s="11" t="s">
        <v>17</v>
      </c>
      <c r="C10" s="26" t="s">
        <v>18</v>
      </c>
      <c r="D10" s="19"/>
      <c r="S10" s="27"/>
      <c r="T10" s="27" t="n">
        <v>0</v>
      </c>
    </row>
    <row r="11" s="6" customFormat="true" ht="18" hidden="false" customHeight="true" outlineLevel="1" collapsed="false">
      <c r="B11" s="11"/>
      <c r="C11" s="28" t="s">
        <v>19</v>
      </c>
      <c r="D11" s="19"/>
      <c r="E11" s="29" t="n">
        <v>23200000</v>
      </c>
      <c r="F11" s="29" t="n">
        <v>25200000</v>
      </c>
      <c r="G11" s="29" t="n">
        <v>24200000</v>
      </c>
      <c r="H11" s="29" t="n">
        <v>24200000</v>
      </c>
      <c r="I11" s="29" t="n">
        <v>2300000</v>
      </c>
      <c r="J11" s="29" t="n">
        <v>2300000</v>
      </c>
      <c r="K11" s="29" t="n">
        <v>125825000</v>
      </c>
      <c r="L11" s="29" t="n">
        <v>2300000</v>
      </c>
      <c r="M11" s="29" t="n">
        <v>2300000</v>
      </c>
      <c r="N11" s="29" t="n">
        <v>14800000</v>
      </c>
      <c r="O11" s="29" t="n">
        <v>7900000</v>
      </c>
      <c r="P11" s="29" t="n">
        <v>7900000</v>
      </c>
      <c r="Q11" s="29"/>
      <c r="S11" s="30" t="n">
        <f aca="false">SUM(E11:P11)</f>
        <v>262425000</v>
      </c>
      <c r="T11" s="31"/>
      <c r="V11" s="32"/>
      <c r="W11" s="32"/>
      <c r="X11" s="32"/>
      <c r="Y11" s="32"/>
      <c r="Z11" s="32"/>
      <c r="AA11" s="32"/>
      <c r="AB11" s="32"/>
      <c r="AC11" s="32"/>
    </row>
    <row r="12" s="6" customFormat="true" ht="18" hidden="false" customHeight="true" outlineLevel="1" collapsed="false">
      <c r="B12" s="11"/>
      <c r="C12" s="33" t="s">
        <v>20</v>
      </c>
      <c r="D12" s="19"/>
      <c r="E12" s="34" t="n">
        <v>0</v>
      </c>
      <c r="F12" s="34" t="n">
        <v>0</v>
      </c>
      <c r="G12" s="34" t="n">
        <v>0</v>
      </c>
      <c r="H12" s="34" t="n">
        <v>0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4"/>
      <c r="S12" s="30" t="n">
        <f aca="false">SUM(E12:P12)</f>
        <v>0</v>
      </c>
      <c r="T12" s="35"/>
      <c r="V12" s="32"/>
      <c r="W12" s="32"/>
      <c r="X12" s="32"/>
      <c r="Y12" s="32"/>
      <c r="Z12" s="32"/>
      <c r="AA12" s="32"/>
      <c r="AB12" s="32"/>
      <c r="AC12" s="32"/>
      <c r="AD12" s="32"/>
    </row>
    <row r="13" s="6" customFormat="true" ht="18" hidden="false" customHeight="true" outlineLevel="1" collapsed="false">
      <c r="B13" s="11"/>
      <c r="C13" s="33" t="s">
        <v>21</v>
      </c>
      <c r="D13" s="19"/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4"/>
      <c r="S13" s="30" t="n">
        <f aca="false">SUM(E13:P13)</f>
        <v>0</v>
      </c>
      <c r="T13" s="35"/>
      <c r="V13" s="36"/>
      <c r="W13" s="36"/>
      <c r="X13" s="36"/>
      <c r="Y13" s="36"/>
      <c r="Z13" s="36"/>
      <c r="AA13" s="36"/>
      <c r="AB13" s="36"/>
      <c r="AC13" s="36"/>
    </row>
    <row r="14" s="6" customFormat="true" ht="18" hidden="false" customHeight="true" outlineLevel="1" collapsed="false">
      <c r="B14" s="11"/>
      <c r="C14" s="33" t="s">
        <v>20</v>
      </c>
      <c r="D14" s="19"/>
      <c r="E14" s="34" t="n">
        <v>0</v>
      </c>
      <c r="F14" s="34" t="n">
        <v>0</v>
      </c>
      <c r="G14" s="34" t="n">
        <v>0</v>
      </c>
      <c r="H14" s="34" t="n">
        <v>0</v>
      </c>
      <c r="I14" s="34" t="n">
        <v>0</v>
      </c>
      <c r="J14" s="34" t="n">
        <v>0</v>
      </c>
      <c r="K14" s="34" t="n">
        <v>0</v>
      </c>
      <c r="L14" s="34" t="n">
        <v>0</v>
      </c>
      <c r="M14" s="34" t="n">
        <v>0</v>
      </c>
      <c r="N14" s="34" t="n">
        <v>0</v>
      </c>
      <c r="O14" s="34" t="n">
        <v>0</v>
      </c>
      <c r="P14" s="34" t="n">
        <v>0</v>
      </c>
      <c r="Q14" s="34"/>
      <c r="S14" s="30" t="n">
        <f aca="false">SUM(E14:P14)</f>
        <v>0</v>
      </c>
      <c r="T14" s="35"/>
      <c r="V14" s="36"/>
      <c r="W14" s="36"/>
      <c r="X14" s="36"/>
      <c r="Y14" s="36"/>
      <c r="Z14" s="36"/>
      <c r="AA14" s="36"/>
      <c r="AB14" s="36"/>
      <c r="AC14" s="36"/>
    </row>
    <row r="15" s="6" customFormat="true" ht="18" hidden="false" customHeight="true" outlineLevel="1" collapsed="false">
      <c r="B15" s="11"/>
      <c r="C15" s="33" t="s">
        <v>22</v>
      </c>
      <c r="D15" s="19"/>
      <c r="E15" s="34" t="n">
        <v>0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34" t="n">
        <v>0</v>
      </c>
      <c r="O15" s="34" t="n">
        <v>0</v>
      </c>
      <c r="P15" s="34" t="n">
        <v>0</v>
      </c>
      <c r="Q15" s="34"/>
      <c r="S15" s="30" t="n">
        <f aca="false">SUM(E15:P15)</f>
        <v>0</v>
      </c>
      <c r="T15" s="35"/>
      <c r="V15" s="36"/>
      <c r="W15" s="36"/>
      <c r="X15" s="36"/>
      <c r="Y15" s="36"/>
      <c r="Z15" s="36"/>
      <c r="AA15" s="36"/>
      <c r="AB15" s="36"/>
      <c r="AC15" s="36"/>
    </row>
    <row r="16" s="6" customFormat="true" ht="18" hidden="false" customHeight="true" outlineLevel="1" collapsed="false">
      <c r="B16" s="11"/>
      <c r="C16" s="33" t="s">
        <v>23</v>
      </c>
      <c r="D16" s="19"/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4" t="n">
        <v>0</v>
      </c>
      <c r="O16" s="34" t="n">
        <v>0</v>
      </c>
      <c r="P16" s="34" t="n">
        <v>0</v>
      </c>
      <c r="Q16" s="34"/>
      <c r="S16" s="30" t="n">
        <f aca="false">SUM(E16:P16)</f>
        <v>0</v>
      </c>
      <c r="T16" s="35"/>
      <c r="V16" s="36"/>
      <c r="W16" s="36"/>
      <c r="X16" s="36"/>
      <c r="Y16" s="36"/>
      <c r="Z16" s="36"/>
      <c r="AA16" s="36"/>
      <c r="AB16" s="36"/>
      <c r="AC16" s="36"/>
    </row>
    <row r="17" s="6" customFormat="true" ht="18" hidden="false" customHeight="true" outlineLevel="1" collapsed="false">
      <c r="B17" s="11"/>
      <c r="C17" s="33" t="s">
        <v>24</v>
      </c>
      <c r="D17" s="19"/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4" t="n">
        <v>0</v>
      </c>
      <c r="O17" s="34" t="n">
        <v>0</v>
      </c>
      <c r="P17" s="34" t="n">
        <v>0</v>
      </c>
      <c r="Q17" s="34"/>
      <c r="S17" s="30" t="n">
        <f aca="false">SUM(E17:P17)</f>
        <v>0</v>
      </c>
      <c r="T17" s="35"/>
      <c r="V17" s="36"/>
      <c r="W17" s="36"/>
      <c r="X17" s="36"/>
      <c r="Y17" s="36"/>
      <c r="Z17" s="36"/>
      <c r="AA17" s="36"/>
      <c r="AB17" s="36"/>
      <c r="AC17" s="36"/>
    </row>
    <row r="18" s="6" customFormat="true" ht="18" hidden="false" customHeight="true" outlineLevel="1" collapsed="false">
      <c r="B18" s="11"/>
      <c r="C18" s="33" t="s">
        <v>25</v>
      </c>
      <c r="D18" s="19"/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4" t="n">
        <v>0</v>
      </c>
      <c r="O18" s="34" t="n">
        <v>0</v>
      </c>
      <c r="P18" s="34" t="n">
        <v>0</v>
      </c>
      <c r="Q18" s="34"/>
      <c r="S18" s="30" t="n">
        <f aca="false">SUM(E18:P18)</f>
        <v>0</v>
      </c>
      <c r="T18" s="35"/>
      <c r="V18" s="37"/>
      <c r="W18" s="37"/>
      <c r="X18" s="37"/>
      <c r="Y18" s="37"/>
      <c r="Z18" s="37"/>
      <c r="AA18" s="37"/>
      <c r="AB18" s="37"/>
      <c r="AC18" s="37"/>
    </row>
    <row r="19" s="6" customFormat="true" ht="18" hidden="false" customHeight="true" outlineLevel="1" collapsed="false">
      <c r="B19" s="11"/>
      <c r="C19" s="33" t="s">
        <v>26</v>
      </c>
      <c r="D19" s="19"/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/>
      <c r="S19" s="30" t="n">
        <f aca="false">SUM(E19:P19)</f>
        <v>0</v>
      </c>
      <c r="T19" s="35"/>
      <c r="V19" s="32"/>
      <c r="W19" s="32"/>
      <c r="X19" s="32"/>
      <c r="Y19" s="32"/>
      <c r="Z19" s="32"/>
      <c r="AA19" s="32"/>
      <c r="AB19" s="32"/>
      <c r="AC19" s="32"/>
      <c r="AD19" s="32"/>
    </row>
    <row r="20" s="6" customFormat="true" ht="18" hidden="false" customHeight="true" outlineLevel="1" collapsed="false">
      <c r="B20" s="11"/>
      <c r="C20" s="38" t="s">
        <v>27</v>
      </c>
      <c r="D20" s="19"/>
      <c r="E20" s="39" t="n">
        <v>0</v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0</v>
      </c>
      <c r="M20" s="39" t="n">
        <v>0</v>
      </c>
      <c r="N20" s="39" t="n">
        <v>0</v>
      </c>
      <c r="O20" s="39" t="n">
        <v>0</v>
      </c>
      <c r="P20" s="39" t="n">
        <v>0</v>
      </c>
      <c r="Q20" s="39"/>
      <c r="S20" s="30" t="n">
        <f aca="false">SUM(E20:P20)</f>
        <v>0</v>
      </c>
      <c r="T20" s="35"/>
      <c r="V20" s="36"/>
      <c r="W20" s="36"/>
      <c r="X20" s="36"/>
      <c r="Y20" s="36"/>
      <c r="Z20" s="36"/>
      <c r="AA20" s="36"/>
      <c r="AB20" s="36"/>
      <c r="AC20" s="36"/>
    </row>
    <row r="21" s="6" customFormat="true" ht="12.75" hidden="false" customHeight="true" outlineLevel="1" collapsed="false">
      <c r="B21" s="11"/>
      <c r="C21" s="40"/>
      <c r="D21" s="19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S21" s="27"/>
      <c r="T21" s="27"/>
      <c r="V21" s="36"/>
      <c r="W21" s="36"/>
      <c r="X21" s="36"/>
      <c r="Y21" s="36"/>
      <c r="Z21" s="36"/>
      <c r="AA21" s="36"/>
      <c r="AB21" s="36"/>
      <c r="AC21" s="36"/>
    </row>
    <row r="22" s="6" customFormat="true" ht="18" hidden="false" customHeight="true" outlineLevel="0" collapsed="false">
      <c r="B22" s="11"/>
      <c r="C22" s="41" t="s">
        <v>28</v>
      </c>
      <c r="D22" s="19"/>
      <c r="E22" s="42" t="n">
        <f aca="false">SUM(E11:E20)</f>
        <v>23200000</v>
      </c>
      <c r="F22" s="42" t="n">
        <f aca="false">SUM(F11:F20)</f>
        <v>25200000</v>
      </c>
      <c r="G22" s="42" t="n">
        <f aca="false">SUM(G11:G20)</f>
        <v>24200000</v>
      </c>
      <c r="H22" s="42" t="n">
        <f aca="false">SUM(H11:H20)</f>
        <v>24200000</v>
      </c>
      <c r="I22" s="42" t="n">
        <f aca="false">SUM(I11:I20)</f>
        <v>2300000</v>
      </c>
      <c r="J22" s="42" t="n">
        <f aca="false">SUM(J11:J20)</f>
        <v>2300000</v>
      </c>
      <c r="K22" s="42" t="n">
        <f aca="false">SUM(K11:K20)</f>
        <v>125825000</v>
      </c>
      <c r="L22" s="42" t="n">
        <f aca="false">SUM(L11:L20)</f>
        <v>2300000</v>
      </c>
      <c r="M22" s="42" t="n">
        <f aca="false">SUM(M11:M20)</f>
        <v>2300000</v>
      </c>
      <c r="N22" s="42" t="n">
        <f aca="false">SUM(N11:N20)</f>
        <v>14800000</v>
      </c>
      <c r="O22" s="42" t="n">
        <f aca="false">SUM(O11:O20)</f>
        <v>7900000</v>
      </c>
      <c r="P22" s="42" t="n">
        <f aca="false">SUM(P11:P20)</f>
        <v>7900000</v>
      </c>
      <c r="Q22" s="42"/>
      <c r="R22" s="27"/>
      <c r="S22" s="42" t="n">
        <f aca="false">SUM(E22:P22)</f>
        <v>262425000</v>
      </c>
      <c r="T22" s="42" t="n">
        <f aca="false">IFERROR(VLOOKUP(E4,target,2,FALSE()),0)</f>
        <v>0</v>
      </c>
      <c r="U22" s="42" t="n">
        <f aca="false">S22/8</f>
        <v>32803125</v>
      </c>
      <c r="V22" s="42" t="n">
        <f aca="false">T22-S22</f>
        <v>-262425000</v>
      </c>
      <c r="W22" s="42"/>
      <c r="X22" s="32"/>
      <c r="Y22" s="32"/>
      <c r="Z22" s="32"/>
      <c r="AA22" s="32"/>
      <c r="AB22" s="32"/>
      <c r="AC22" s="32"/>
      <c r="AD22" s="32"/>
    </row>
    <row r="23" s="6" customFormat="true" ht="18" hidden="false" customHeight="true" outlineLevel="0" collapsed="false">
      <c r="B23" s="11"/>
      <c r="C23" s="41"/>
      <c r="D23" s="19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32"/>
      <c r="Y23" s="32"/>
      <c r="Z23" s="32"/>
      <c r="AA23" s="32"/>
      <c r="AB23" s="32"/>
      <c r="AC23" s="32"/>
      <c r="AD23" s="32"/>
    </row>
    <row r="24" s="6" customFormat="true" ht="18" hidden="false" customHeight="true" outlineLevel="0" collapsed="false">
      <c r="B24" s="11"/>
      <c r="C24" s="41"/>
      <c r="D24" s="19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32"/>
      <c r="Y24" s="32"/>
      <c r="Z24" s="32"/>
      <c r="AA24" s="32"/>
      <c r="AB24" s="32"/>
      <c r="AC24" s="32"/>
      <c r="AD24" s="32"/>
    </row>
    <row r="25" s="6" customFormat="true" ht="18" hidden="false" customHeight="true" outlineLevel="0" collapsed="false">
      <c r="B25" s="11" t="s">
        <v>29</v>
      </c>
      <c r="C25" s="43" t="s">
        <v>30</v>
      </c>
      <c r="D25" s="19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S25" s="27"/>
      <c r="T25" s="44"/>
      <c r="V25" s="32"/>
      <c r="W25" s="32"/>
      <c r="X25" s="32"/>
      <c r="Y25" s="32"/>
      <c r="Z25" s="32"/>
      <c r="AA25" s="32"/>
      <c r="AB25" s="32"/>
      <c r="AC25" s="32"/>
      <c r="AD25" s="32"/>
    </row>
    <row r="26" s="45" customFormat="true" ht="18" hidden="false" customHeight="true" outlineLevel="0" collapsed="false">
      <c r="B26" s="46" t="n">
        <v>1</v>
      </c>
      <c r="C26" s="47" t="s">
        <v>31</v>
      </c>
      <c r="D26" s="19"/>
      <c r="E26" s="30" t="n">
        <v>0</v>
      </c>
      <c r="F26" s="30" t="n">
        <v>0</v>
      </c>
      <c r="G26" s="30" t="n">
        <v>0</v>
      </c>
      <c r="H26" s="30" t="n">
        <v>0</v>
      </c>
      <c r="I26" s="30" t="n">
        <v>0</v>
      </c>
      <c r="J26" s="30" t="n">
        <v>0</v>
      </c>
      <c r="K26" s="30" t="n">
        <v>0</v>
      </c>
      <c r="L26" s="30" t="n">
        <v>0</v>
      </c>
      <c r="M26" s="30" t="n">
        <v>0</v>
      </c>
      <c r="N26" s="30" t="n">
        <v>0</v>
      </c>
      <c r="O26" s="30" t="n">
        <v>0</v>
      </c>
      <c r="P26" s="30" t="n">
        <v>0</v>
      </c>
      <c r="Q26" s="30"/>
      <c r="S26" s="30" t="n">
        <f aca="false">SUM(S27:S31)</f>
        <v>0</v>
      </c>
      <c r="T26" s="27"/>
      <c r="V26" s="48"/>
      <c r="W26" s="48"/>
      <c r="X26" s="48"/>
      <c r="Y26" s="48"/>
      <c r="Z26" s="48"/>
      <c r="AA26" s="48"/>
      <c r="AB26" s="48"/>
      <c r="AC26" s="48"/>
    </row>
    <row r="27" s="6" customFormat="true" ht="18" hidden="false" customHeight="true" outlineLevel="1" collapsed="false">
      <c r="B27" s="11"/>
      <c r="C27" s="33" t="s">
        <v>32</v>
      </c>
      <c r="D27" s="19"/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4" t="n">
        <v>0</v>
      </c>
      <c r="O27" s="34" t="n">
        <v>0</v>
      </c>
      <c r="P27" s="34" t="n">
        <v>0</v>
      </c>
      <c r="Q27" s="34"/>
      <c r="S27" s="35" t="n">
        <f aca="false">SUM(E27:P27)</f>
        <v>0</v>
      </c>
      <c r="T27" s="27"/>
      <c r="V27" s="37"/>
      <c r="W27" s="37"/>
      <c r="X27" s="37"/>
      <c r="Y27" s="37"/>
      <c r="Z27" s="37"/>
      <c r="AA27" s="37"/>
      <c r="AB27" s="37"/>
      <c r="AC27" s="37"/>
    </row>
    <row r="28" s="6" customFormat="true" ht="18" hidden="false" customHeight="true" outlineLevel="1" collapsed="false">
      <c r="B28" s="11"/>
      <c r="C28" s="33" t="s">
        <v>33</v>
      </c>
      <c r="D28" s="19"/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4" t="n">
        <v>0</v>
      </c>
      <c r="O28" s="34" t="n">
        <v>0</v>
      </c>
      <c r="P28" s="34" t="n">
        <v>0</v>
      </c>
      <c r="Q28" s="34"/>
      <c r="S28" s="35" t="n">
        <f aca="false">SUM(E28:P28)</f>
        <v>0</v>
      </c>
      <c r="T28" s="27"/>
      <c r="V28" s="37"/>
      <c r="W28" s="37"/>
      <c r="X28" s="37"/>
      <c r="Y28" s="37"/>
      <c r="Z28" s="37"/>
      <c r="AA28" s="37"/>
      <c r="AB28" s="37"/>
      <c r="AC28" s="37"/>
    </row>
    <row r="29" s="6" customFormat="true" ht="18" hidden="false" customHeight="true" outlineLevel="1" collapsed="false">
      <c r="B29" s="11"/>
      <c r="C29" s="33" t="s">
        <v>34</v>
      </c>
      <c r="D29" s="19"/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4" t="n">
        <v>0</v>
      </c>
      <c r="O29" s="34" t="n">
        <v>0</v>
      </c>
      <c r="P29" s="34" t="n">
        <v>0</v>
      </c>
      <c r="Q29" s="34"/>
      <c r="S29" s="35" t="n">
        <f aca="false">SUM(E29:P29)</f>
        <v>0</v>
      </c>
      <c r="T29" s="27"/>
      <c r="V29" s="37"/>
      <c r="W29" s="37"/>
      <c r="X29" s="37"/>
      <c r="Y29" s="37"/>
      <c r="Z29" s="37"/>
      <c r="AA29" s="37"/>
      <c r="AB29" s="37"/>
      <c r="AC29" s="37"/>
    </row>
    <row r="30" s="6" customFormat="true" ht="18" hidden="false" customHeight="true" outlineLevel="1" collapsed="false">
      <c r="B30" s="11"/>
      <c r="C30" s="33" t="s">
        <v>35</v>
      </c>
      <c r="D30" s="19"/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4" t="n">
        <v>0</v>
      </c>
      <c r="O30" s="34" t="n">
        <v>0</v>
      </c>
      <c r="P30" s="34" t="n">
        <v>0</v>
      </c>
      <c r="Q30" s="34"/>
      <c r="S30" s="35" t="n">
        <f aca="false">SUM(E30:P30)</f>
        <v>0</v>
      </c>
      <c r="T30" s="27" t="s">
        <v>36</v>
      </c>
      <c r="V30" s="37"/>
      <c r="W30" s="37"/>
      <c r="X30" s="37"/>
      <c r="Y30" s="37"/>
      <c r="Z30" s="37"/>
      <c r="AA30" s="37"/>
      <c r="AB30" s="37"/>
      <c r="AC30" s="37"/>
    </row>
    <row r="31" s="6" customFormat="true" ht="18" hidden="false" customHeight="true" outlineLevel="1" collapsed="false">
      <c r="B31" s="11"/>
      <c r="C31" s="49" t="s">
        <v>37</v>
      </c>
      <c r="D31" s="19"/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/>
      <c r="S31" s="35" t="n">
        <f aca="false">SUM(E31:P31)</f>
        <v>0</v>
      </c>
      <c r="T31" s="27"/>
      <c r="V31" s="37"/>
      <c r="W31" s="37"/>
      <c r="X31" s="37"/>
      <c r="Y31" s="37"/>
      <c r="Z31" s="37"/>
      <c r="AA31" s="37"/>
      <c r="AB31" s="37"/>
      <c r="AC31" s="37"/>
    </row>
    <row r="32" s="6" customFormat="true" ht="18" hidden="false" customHeight="true" outlineLevel="1" collapsed="false">
      <c r="B32" s="11"/>
      <c r="C32" s="33"/>
      <c r="D32" s="50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S32" s="35" t="n">
        <f aca="false">SUM(E32:P32)</f>
        <v>0</v>
      </c>
      <c r="T32" s="27"/>
      <c r="V32" s="37"/>
      <c r="W32" s="37"/>
      <c r="X32" s="37"/>
      <c r="Y32" s="37"/>
      <c r="Z32" s="37"/>
      <c r="AA32" s="37"/>
      <c r="AB32" s="37"/>
      <c r="AC32" s="37"/>
    </row>
    <row r="33" s="45" customFormat="true" ht="18" hidden="false" customHeight="true" outlineLevel="0" collapsed="false">
      <c r="B33" s="11" t="n">
        <v>2</v>
      </c>
      <c r="C33" s="47" t="s">
        <v>38</v>
      </c>
      <c r="D33" s="19"/>
      <c r="E33" s="30" t="n">
        <f aca="false">E34</f>
        <v>0</v>
      </c>
      <c r="F33" s="30" t="n">
        <f aca="false">F34</f>
        <v>0</v>
      </c>
      <c r="G33" s="30" t="n">
        <f aca="false">G34</f>
        <v>0</v>
      </c>
      <c r="H33" s="30" t="n">
        <f aca="false">H34</f>
        <v>0</v>
      </c>
      <c r="I33" s="30" t="n">
        <f aca="false">I34</f>
        <v>0</v>
      </c>
      <c r="J33" s="30" t="n">
        <f aca="false">J34</f>
        <v>0</v>
      </c>
      <c r="K33" s="30" t="n">
        <f aca="false">K34</f>
        <v>0</v>
      </c>
      <c r="L33" s="30" t="n">
        <f aca="false">L34</f>
        <v>0</v>
      </c>
      <c r="M33" s="30" t="n">
        <f aca="false">M34</f>
        <v>0</v>
      </c>
      <c r="N33" s="30" t="n">
        <f aca="false">N34</f>
        <v>0</v>
      </c>
      <c r="O33" s="30" t="n">
        <f aca="false">O34</f>
        <v>0</v>
      </c>
      <c r="P33" s="30" t="n">
        <f aca="false">P34</f>
        <v>0</v>
      </c>
      <c r="Q33" s="30"/>
      <c r="S33" s="35" t="n">
        <f aca="false">S34</f>
        <v>0</v>
      </c>
      <c r="T33" s="27"/>
      <c r="V33" s="48"/>
      <c r="W33" s="48"/>
      <c r="X33" s="48"/>
      <c r="Y33" s="48"/>
      <c r="Z33" s="48"/>
      <c r="AA33" s="48"/>
      <c r="AB33" s="48"/>
      <c r="AC33" s="48"/>
    </row>
    <row r="34" s="6" customFormat="true" ht="18" hidden="false" customHeight="true" outlineLevel="1" collapsed="false">
      <c r="B34" s="11"/>
      <c r="C34" s="33" t="s">
        <v>39</v>
      </c>
      <c r="D34" s="19"/>
      <c r="E34" s="34" t="n">
        <v>0</v>
      </c>
      <c r="F34" s="34" t="n">
        <v>0</v>
      </c>
      <c r="G34" s="34" t="n">
        <v>0</v>
      </c>
      <c r="H34" s="34" t="n">
        <v>0</v>
      </c>
      <c r="I34" s="34" t="n">
        <v>0</v>
      </c>
      <c r="J34" s="34" t="n">
        <v>0</v>
      </c>
      <c r="K34" s="34" t="n">
        <v>0</v>
      </c>
      <c r="L34" s="34" t="n">
        <v>0</v>
      </c>
      <c r="M34" s="34" t="n">
        <v>0</v>
      </c>
      <c r="N34" s="34" t="n">
        <v>0</v>
      </c>
      <c r="O34" s="34" t="n">
        <v>0</v>
      </c>
      <c r="P34" s="34" t="n">
        <v>0</v>
      </c>
      <c r="Q34" s="34"/>
      <c r="S34" s="35" t="n">
        <f aca="false">SUM(E34:P34)</f>
        <v>0</v>
      </c>
      <c r="T34" s="27"/>
      <c r="V34" s="37"/>
      <c r="W34" s="37"/>
      <c r="X34" s="37"/>
      <c r="Y34" s="37"/>
      <c r="Z34" s="37"/>
      <c r="AA34" s="37"/>
      <c r="AB34" s="37"/>
      <c r="AC34" s="37"/>
    </row>
    <row r="35" s="6" customFormat="true" ht="18" hidden="false" customHeight="true" outlineLevel="1" collapsed="false">
      <c r="B35" s="11"/>
      <c r="C35" s="33"/>
      <c r="D35" s="50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S35" s="35" t="n">
        <f aca="false">SUM(E35:P35)</f>
        <v>0</v>
      </c>
      <c r="T35" s="27"/>
      <c r="V35" s="37"/>
      <c r="W35" s="37"/>
      <c r="X35" s="37"/>
      <c r="Y35" s="37"/>
      <c r="Z35" s="37"/>
      <c r="AA35" s="37"/>
      <c r="AB35" s="37"/>
      <c r="AC35" s="37"/>
    </row>
    <row r="36" s="6" customFormat="true" ht="18" hidden="false" customHeight="true" outlineLevel="1" collapsed="false">
      <c r="B36" s="11"/>
      <c r="C36" s="49"/>
      <c r="D36" s="50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S36" s="35" t="n">
        <f aca="false">SUM(E36:P36)</f>
        <v>0</v>
      </c>
      <c r="T36" s="27"/>
      <c r="V36" s="37"/>
      <c r="W36" s="37"/>
      <c r="X36" s="37"/>
      <c r="Y36" s="37"/>
      <c r="Z36" s="37"/>
      <c r="AA36" s="37"/>
      <c r="AB36" s="37"/>
      <c r="AC36" s="37"/>
    </row>
    <row r="37" s="6" customFormat="true" ht="18" hidden="false" customHeight="true" outlineLevel="0" collapsed="false">
      <c r="B37" s="11" t="n">
        <v>3</v>
      </c>
      <c r="C37" s="47" t="s">
        <v>40</v>
      </c>
      <c r="D37" s="50"/>
      <c r="E37" s="35" t="n">
        <f aca="false">SUM(E38:E49)</f>
        <v>0</v>
      </c>
      <c r="F37" s="35" t="n">
        <f aca="false">SUM(F38:F49)</f>
        <v>0</v>
      </c>
      <c r="G37" s="35" t="n">
        <f aca="false">SUM(G38:G49)</f>
        <v>0</v>
      </c>
      <c r="H37" s="35" t="n">
        <f aca="false">SUM(H38:H49)</f>
        <v>0</v>
      </c>
      <c r="I37" s="35" t="n">
        <f aca="false">SUM(I38:I49)</f>
        <v>0</v>
      </c>
      <c r="J37" s="35" t="n">
        <f aca="false">SUM(J38:J49)</f>
        <v>0</v>
      </c>
      <c r="K37" s="35" t="n">
        <f aca="false">SUM(K38:K49)</f>
        <v>0</v>
      </c>
      <c r="L37" s="35" t="n">
        <f aca="false">SUM(L38:L49)</f>
        <v>0</v>
      </c>
      <c r="M37" s="35" t="n">
        <f aca="false">SUM(M38:M49)</f>
        <v>0</v>
      </c>
      <c r="N37" s="35" t="n">
        <f aca="false">SUM(N38:N49)</f>
        <v>0</v>
      </c>
      <c r="O37" s="35" t="n">
        <f aca="false">SUM(O38:O49)</f>
        <v>-13086400</v>
      </c>
      <c r="P37" s="35" t="n">
        <f aca="false">SUM(P38:P49)</f>
        <v>-13086400</v>
      </c>
      <c r="Q37" s="35"/>
      <c r="S37" s="35" t="n">
        <f aca="false">SUM(S38:S49)</f>
        <v>-26172800</v>
      </c>
      <c r="T37" s="27" t="s">
        <v>41</v>
      </c>
      <c r="V37" s="37"/>
      <c r="W37" s="37"/>
      <c r="X37" s="37"/>
      <c r="Y37" s="37"/>
      <c r="Z37" s="37"/>
      <c r="AA37" s="37"/>
      <c r="AB37" s="37"/>
      <c r="AC37" s="37"/>
    </row>
    <row r="38" s="6" customFormat="true" ht="18" hidden="false" customHeight="true" outlineLevel="2" collapsed="false">
      <c r="B38" s="11"/>
      <c r="C38" s="33" t="s">
        <v>42</v>
      </c>
      <c r="D38" s="50"/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4" t="n">
        <v>0</v>
      </c>
      <c r="O38" s="34" t="n">
        <v>0</v>
      </c>
      <c r="P38" s="34" t="n">
        <v>0</v>
      </c>
      <c r="Q38" s="34"/>
      <c r="S38" s="35" t="n">
        <f aca="false">SUM(E38:P38)</f>
        <v>0</v>
      </c>
      <c r="T38" s="27"/>
      <c r="V38" s="37"/>
      <c r="W38" s="37"/>
      <c r="X38" s="37"/>
      <c r="Y38" s="37"/>
      <c r="Z38" s="37"/>
      <c r="AA38" s="37"/>
      <c r="AB38" s="37"/>
      <c r="AC38" s="37"/>
    </row>
    <row r="39" s="6" customFormat="true" ht="18" hidden="false" customHeight="true" outlineLevel="2" collapsed="false">
      <c r="B39" s="11"/>
      <c r="C39" s="33" t="s">
        <v>43</v>
      </c>
      <c r="D39" s="50"/>
      <c r="E39" s="34" t="n">
        <v>0</v>
      </c>
      <c r="F39" s="34" t="n">
        <v>0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4" t="n">
        <v>0</v>
      </c>
      <c r="O39" s="34" t="n">
        <v>0</v>
      </c>
      <c r="P39" s="34" t="n">
        <v>0</v>
      </c>
      <c r="Q39" s="34"/>
      <c r="S39" s="35" t="n">
        <f aca="false">SUM(E39:P39)</f>
        <v>0</v>
      </c>
      <c r="T39" s="27"/>
      <c r="V39" s="37"/>
      <c r="W39" s="37"/>
      <c r="X39" s="37"/>
      <c r="Y39" s="37"/>
      <c r="Z39" s="37"/>
      <c r="AA39" s="37"/>
      <c r="AB39" s="37"/>
      <c r="AC39" s="37"/>
    </row>
    <row r="40" s="6" customFormat="true" ht="18" hidden="false" customHeight="true" outlineLevel="2" collapsed="false">
      <c r="B40" s="11"/>
      <c r="C40" s="33" t="s">
        <v>44</v>
      </c>
      <c r="D40" s="50"/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4" t="n">
        <v>0</v>
      </c>
      <c r="O40" s="34" t="n">
        <v>0</v>
      </c>
      <c r="P40" s="34" t="n">
        <v>0</v>
      </c>
      <c r="Q40" s="34"/>
      <c r="S40" s="35" t="n">
        <f aca="false">SUM(E40:P40)</f>
        <v>0</v>
      </c>
      <c r="T40" s="27"/>
    </row>
    <row r="41" s="6" customFormat="true" ht="18" hidden="false" customHeight="true" outlineLevel="2" collapsed="false">
      <c r="B41" s="11"/>
      <c r="C41" s="33" t="s">
        <v>45</v>
      </c>
      <c r="D41" s="50"/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4" t="n">
        <v>0</v>
      </c>
      <c r="O41" s="34" t="n">
        <v>0</v>
      </c>
      <c r="P41" s="34" t="n">
        <v>0</v>
      </c>
      <c r="Q41" s="34"/>
      <c r="S41" s="35" t="n">
        <f aca="false">SUM(E41:P41)</f>
        <v>0</v>
      </c>
      <c r="T41" s="27"/>
    </row>
    <row r="42" s="6" customFormat="true" ht="18" hidden="false" customHeight="true" outlineLevel="2" collapsed="false">
      <c r="B42" s="11"/>
      <c r="C42" s="33" t="s">
        <v>46</v>
      </c>
      <c r="D42" s="50"/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4" t="n">
        <v>0</v>
      </c>
      <c r="O42" s="34" t="n">
        <v>0</v>
      </c>
      <c r="P42" s="34" t="n">
        <v>0</v>
      </c>
      <c r="Q42" s="34"/>
      <c r="S42" s="35" t="n">
        <f aca="false">SUM(E42:P42)</f>
        <v>0</v>
      </c>
      <c r="T42" s="27"/>
    </row>
    <row r="43" s="6" customFormat="true" ht="18" hidden="false" customHeight="true" outlineLevel="2" collapsed="false">
      <c r="B43" s="11"/>
      <c r="C43" s="33" t="s">
        <v>47</v>
      </c>
      <c r="D43" s="50"/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4" t="n">
        <v>0</v>
      </c>
      <c r="O43" s="34" t="n">
        <v>0</v>
      </c>
      <c r="P43" s="34" t="n">
        <v>0</v>
      </c>
      <c r="Q43" s="34"/>
      <c r="S43" s="35" t="n">
        <f aca="false">SUM(E43:P43)</f>
        <v>0</v>
      </c>
      <c r="T43" s="27"/>
    </row>
    <row r="44" s="6" customFormat="true" ht="18" hidden="false" customHeight="true" outlineLevel="2" collapsed="false">
      <c r="B44" s="11"/>
      <c r="C44" s="33" t="s">
        <v>48</v>
      </c>
      <c r="D44" s="50"/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4" t="n">
        <v>0</v>
      </c>
      <c r="O44" s="34" t="n">
        <v>0</v>
      </c>
      <c r="P44" s="34" t="n">
        <v>0</v>
      </c>
      <c r="Q44" s="34"/>
      <c r="S44" s="35" t="n">
        <f aca="false">SUM(E44:P44)</f>
        <v>0</v>
      </c>
      <c r="T44" s="27"/>
    </row>
    <row r="45" s="6" customFormat="true" ht="18" hidden="false" customHeight="true" outlineLevel="2" collapsed="false">
      <c r="B45" s="11"/>
      <c r="C45" s="33" t="s">
        <v>49</v>
      </c>
      <c r="D45" s="50"/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4" t="n">
        <v>0</v>
      </c>
      <c r="O45" s="34" t="n">
        <v>-13086400</v>
      </c>
      <c r="P45" s="34" t="n">
        <v>-13086400</v>
      </c>
      <c r="Q45" s="34"/>
      <c r="S45" s="35" t="n">
        <f aca="false">SUM(E45:P45)</f>
        <v>-26172800</v>
      </c>
      <c r="T45" s="27"/>
    </row>
    <row r="46" s="6" customFormat="true" ht="18" hidden="false" customHeight="true" outlineLevel="2" collapsed="false">
      <c r="B46" s="11"/>
      <c r="C46" s="33" t="s">
        <v>50</v>
      </c>
      <c r="D46" s="50"/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/>
      <c r="S46" s="35" t="n">
        <f aca="false">SUM(E46:P46)</f>
        <v>0</v>
      </c>
      <c r="T46" s="27"/>
    </row>
    <row r="47" s="6" customFormat="true" ht="18" hidden="false" customHeight="true" outlineLevel="2" collapsed="false">
      <c r="B47" s="11"/>
      <c r="C47" s="33" t="s">
        <v>51</v>
      </c>
      <c r="D47" s="50"/>
      <c r="E47" s="34" t="n">
        <v>0</v>
      </c>
      <c r="F47" s="34" t="n">
        <v>0</v>
      </c>
      <c r="G47" s="34" t="n">
        <v>0</v>
      </c>
      <c r="H47" s="34" t="n">
        <v>0</v>
      </c>
      <c r="I47" s="34" t="n">
        <v>0</v>
      </c>
      <c r="J47" s="34" t="n">
        <v>0</v>
      </c>
      <c r="K47" s="34" t="n">
        <v>0</v>
      </c>
      <c r="L47" s="34" t="n">
        <v>0</v>
      </c>
      <c r="M47" s="34" t="n">
        <v>0</v>
      </c>
      <c r="N47" s="34" t="n">
        <v>0</v>
      </c>
      <c r="O47" s="34" t="n">
        <v>0</v>
      </c>
      <c r="P47" s="34" t="n">
        <v>0</v>
      </c>
      <c r="Q47" s="34"/>
      <c r="S47" s="35" t="n">
        <f aca="false">SUM(E47:P47)</f>
        <v>0</v>
      </c>
      <c r="T47" s="27"/>
    </row>
    <row r="48" s="6" customFormat="true" ht="18" hidden="false" customHeight="true" outlineLevel="2" collapsed="false">
      <c r="B48" s="11"/>
      <c r="C48" s="33" t="s">
        <v>52</v>
      </c>
      <c r="D48" s="50"/>
      <c r="E48" s="34" t="n">
        <v>0</v>
      </c>
      <c r="F48" s="34" t="n">
        <v>0</v>
      </c>
      <c r="G48" s="34" t="n">
        <v>0</v>
      </c>
      <c r="H48" s="34" t="n">
        <v>0</v>
      </c>
      <c r="I48" s="34" t="n">
        <v>0</v>
      </c>
      <c r="J48" s="34" t="n">
        <v>0</v>
      </c>
      <c r="K48" s="34" t="n">
        <v>0</v>
      </c>
      <c r="L48" s="34" t="n">
        <v>0</v>
      </c>
      <c r="M48" s="34" t="n">
        <v>0</v>
      </c>
      <c r="N48" s="34" t="n">
        <v>0</v>
      </c>
      <c r="O48" s="34" t="n">
        <v>0</v>
      </c>
      <c r="P48" s="34" t="n">
        <v>0</v>
      </c>
      <c r="Q48" s="34"/>
      <c r="S48" s="35" t="n">
        <f aca="false">SUM(E48:P48)</f>
        <v>0</v>
      </c>
      <c r="T48" s="27"/>
    </row>
    <row r="49" s="6" customFormat="true" ht="18" hidden="false" customHeight="true" outlineLevel="2" collapsed="false">
      <c r="B49" s="11"/>
      <c r="C49" s="33" t="s">
        <v>53</v>
      </c>
      <c r="D49" s="50"/>
      <c r="E49" s="34" t="n">
        <v>0</v>
      </c>
      <c r="F49" s="34" t="n">
        <v>0</v>
      </c>
      <c r="G49" s="34" t="n">
        <v>0</v>
      </c>
      <c r="H49" s="34" t="n">
        <v>0</v>
      </c>
      <c r="I49" s="34" t="n">
        <v>0</v>
      </c>
      <c r="J49" s="34" t="n">
        <v>0</v>
      </c>
      <c r="K49" s="34" t="n">
        <v>0</v>
      </c>
      <c r="L49" s="34" t="n">
        <v>0</v>
      </c>
      <c r="M49" s="34" t="n">
        <v>0</v>
      </c>
      <c r="N49" s="34" t="n">
        <v>0</v>
      </c>
      <c r="O49" s="34" t="n">
        <v>0</v>
      </c>
      <c r="P49" s="34" t="n">
        <v>0</v>
      </c>
      <c r="Q49" s="34"/>
      <c r="S49" s="35" t="n">
        <f aca="false">SUM(E49:P49)</f>
        <v>0</v>
      </c>
      <c r="T49" s="27"/>
    </row>
    <row r="50" s="6" customFormat="true" ht="18" hidden="false" customHeight="true" outlineLevel="2" collapsed="false">
      <c r="B50" s="11"/>
      <c r="C50" s="33"/>
      <c r="D50" s="50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S50" s="35" t="n">
        <f aca="false">SUM(E50:P50)</f>
        <v>0</v>
      </c>
      <c r="T50" s="27"/>
    </row>
    <row r="51" s="6" customFormat="true" ht="18" hidden="false" customHeight="true" outlineLevel="0" collapsed="false">
      <c r="B51" s="11" t="n">
        <v>4</v>
      </c>
      <c r="C51" s="47" t="s">
        <v>54</v>
      </c>
      <c r="D51" s="50"/>
      <c r="E51" s="35" t="n">
        <f aca="false">SUM(E52:E63)</f>
        <v>-19725418</v>
      </c>
      <c r="F51" s="35" t="n">
        <f aca="false">SUM(F52:F63)</f>
        <v>-19725418</v>
      </c>
      <c r="G51" s="35" t="n">
        <f aca="false">SUM(G52:G63)</f>
        <v>-19725418</v>
      </c>
      <c r="H51" s="35" t="n">
        <f aca="false">SUM(H52:H63)</f>
        <v>-19725418</v>
      </c>
      <c r="I51" s="35" t="n">
        <f aca="false">SUM(I52:I63)</f>
        <v>-9112277</v>
      </c>
      <c r="J51" s="35" t="n">
        <f aca="false">SUM(J52:J63)</f>
        <v>-9112277</v>
      </c>
      <c r="K51" s="35" t="n">
        <f aca="false">SUM(K52:K63)</f>
        <v>-9712277</v>
      </c>
      <c r="L51" s="35" t="n">
        <f aca="false">SUM(L52:L63)</f>
        <v>-9312277</v>
      </c>
      <c r="M51" s="35" t="n">
        <f aca="false">SUM(M52:M63)</f>
        <v>-9312277</v>
      </c>
      <c r="N51" s="35" t="n">
        <f aca="false">SUM(N52:N63)</f>
        <v>-9212277</v>
      </c>
      <c r="O51" s="35" t="n">
        <f aca="false">SUM(O52:O63)</f>
        <v>-9212277</v>
      </c>
      <c r="P51" s="35" t="n">
        <f aca="false">SUM(P52:P63)</f>
        <v>-9212277</v>
      </c>
      <c r="Q51" s="35"/>
      <c r="S51" s="35" t="n">
        <f aca="false">SUM(E51:P51)</f>
        <v>-153099888</v>
      </c>
      <c r="T51" s="27"/>
    </row>
    <row r="52" s="6" customFormat="true" ht="18" hidden="false" customHeight="true" outlineLevel="2" collapsed="false">
      <c r="B52" s="11"/>
      <c r="C52" s="33" t="s">
        <v>55</v>
      </c>
      <c r="D52" s="50"/>
      <c r="E52" s="34" t="n">
        <v>-19725418</v>
      </c>
      <c r="F52" s="34" t="n">
        <v>-19725418</v>
      </c>
      <c r="G52" s="34" t="n">
        <v>-19725418</v>
      </c>
      <c r="H52" s="34" t="n">
        <v>-19725418</v>
      </c>
      <c r="I52" s="34" t="n">
        <v>-9112277</v>
      </c>
      <c r="J52" s="34" t="n">
        <v>-9112277</v>
      </c>
      <c r="K52" s="34" t="n">
        <v>-9412277</v>
      </c>
      <c r="L52" s="34" t="n">
        <v>-9212277</v>
      </c>
      <c r="M52" s="34" t="n">
        <v>-9212277</v>
      </c>
      <c r="N52" s="34" t="n">
        <v>-9112277</v>
      </c>
      <c r="O52" s="34" t="n">
        <v>-9112277</v>
      </c>
      <c r="P52" s="34" t="n">
        <v>-9112277</v>
      </c>
      <c r="Q52" s="34"/>
      <c r="S52" s="35" t="n">
        <f aca="false">SUM(E52:P52)</f>
        <v>-152299888</v>
      </c>
      <c r="T52" s="27"/>
    </row>
    <row r="53" s="6" customFormat="true" ht="18" hidden="false" customHeight="true" outlineLevel="2" collapsed="false">
      <c r="B53" s="11"/>
      <c r="C53" s="33" t="s">
        <v>56</v>
      </c>
      <c r="D53" s="50"/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4" t="n">
        <v>0</v>
      </c>
      <c r="O53" s="34" t="n">
        <v>0</v>
      </c>
      <c r="P53" s="34" t="n">
        <v>0</v>
      </c>
      <c r="Q53" s="34"/>
      <c r="S53" s="35" t="n">
        <f aca="false">SUM(E53:P53)</f>
        <v>0</v>
      </c>
      <c r="T53" s="27"/>
    </row>
    <row r="54" s="6" customFormat="true" ht="18" hidden="false" customHeight="true" outlineLevel="2" collapsed="false">
      <c r="B54" s="11"/>
      <c r="C54" s="33" t="s">
        <v>57</v>
      </c>
      <c r="D54" s="50"/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4" t="n">
        <v>0</v>
      </c>
      <c r="O54" s="34" t="n">
        <v>0</v>
      </c>
      <c r="P54" s="34" t="n">
        <v>0</v>
      </c>
      <c r="Q54" s="34"/>
      <c r="S54" s="35" t="n">
        <f aca="false">SUM(E54:P54)</f>
        <v>0</v>
      </c>
      <c r="T54" s="27"/>
    </row>
    <row r="55" s="6" customFormat="true" ht="18" hidden="false" customHeight="true" outlineLevel="2" collapsed="false">
      <c r="B55" s="11"/>
      <c r="C55" s="33" t="s">
        <v>58</v>
      </c>
      <c r="D55" s="50"/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4" t="n">
        <v>0</v>
      </c>
      <c r="O55" s="34" t="n">
        <v>0</v>
      </c>
      <c r="P55" s="34" t="n">
        <v>0</v>
      </c>
      <c r="Q55" s="34"/>
      <c r="S55" s="35" t="n">
        <f aca="false">SUM(E55:P55)</f>
        <v>0</v>
      </c>
      <c r="T55" s="27"/>
    </row>
    <row r="56" s="6" customFormat="true" ht="18" hidden="false" customHeight="true" outlineLevel="2" collapsed="false">
      <c r="B56" s="11"/>
      <c r="C56" s="33" t="s">
        <v>59</v>
      </c>
      <c r="D56" s="50"/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4" t="n">
        <v>0</v>
      </c>
      <c r="O56" s="34" t="n">
        <v>0</v>
      </c>
      <c r="P56" s="34" t="n">
        <v>0</v>
      </c>
      <c r="Q56" s="34"/>
      <c r="S56" s="35" t="n">
        <f aca="false">SUM(E56:P56)</f>
        <v>0</v>
      </c>
      <c r="T56" s="27"/>
    </row>
    <row r="57" s="6" customFormat="true" ht="18" hidden="false" customHeight="true" outlineLevel="2" collapsed="false">
      <c r="B57" s="11"/>
      <c r="C57" s="33" t="s">
        <v>60</v>
      </c>
      <c r="D57" s="50"/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4" t="n">
        <v>0</v>
      </c>
      <c r="O57" s="34" t="n">
        <v>0</v>
      </c>
      <c r="P57" s="34" t="n">
        <v>0</v>
      </c>
      <c r="Q57" s="34"/>
      <c r="S57" s="35" t="n">
        <f aca="false">SUM(E57:P57)</f>
        <v>0</v>
      </c>
      <c r="T57" s="27"/>
    </row>
    <row r="58" s="6" customFormat="true" ht="18" hidden="false" customHeight="true" outlineLevel="2" collapsed="false">
      <c r="B58" s="11"/>
      <c r="C58" s="33" t="s">
        <v>61</v>
      </c>
      <c r="D58" s="50"/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4" t="n">
        <v>0</v>
      </c>
      <c r="O58" s="34" t="n">
        <v>0</v>
      </c>
      <c r="P58" s="34" t="n">
        <v>0</v>
      </c>
      <c r="Q58" s="34"/>
      <c r="S58" s="35" t="n">
        <f aca="false">SUM(E58:P58)</f>
        <v>0</v>
      </c>
      <c r="T58" s="27"/>
    </row>
    <row r="59" s="6" customFormat="true" ht="18" hidden="false" customHeight="true" outlineLevel="2" collapsed="false">
      <c r="B59" s="11"/>
      <c r="C59" s="33" t="s">
        <v>62</v>
      </c>
      <c r="D59" s="50"/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4" t="n">
        <v>0</v>
      </c>
      <c r="O59" s="34" t="n">
        <v>0</v>
      </c>
      <c r="P59" s="34" t="n">
        <v>0</v>
      </c>
      <c r="Q59" s="34"/>
      <c r="S59" s="35" t="n">
        <f aca="false">SUM(E59:P59)</f>
        <v>0</v>
      </c>
      <c r="T59" s="27"/>
    </row>
    <row r="60" s="6" customFormat="true" ht="18" hidden="false" customHeight="true" outlineLevel="2" collapsed="false">
      <c r="B60" s="11"/>
      <c r="C60" s="33" t="s">
        <v>63</v>
      </c>
      <c r="D60" s="50"/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4" t="n">
        <v>0</v>
      </c>
      <c r="O60" s="34" t="n">
        <v>0</v>
      </c>
      <c r="P60" s="34" t="n">
        <v>0</v>
      </c>
      <c r="Q60" s="34"/>
      <c r="S60" s="35" t="n">
        <f aca="false">SUM(E60:P60)</f>
        <v>0</v>
      </c>
      <c r="T60" s="27"/>
    </row>
    <row r="61" s="6" customFormat="true" ht="18" hidden="false" customHeight="true" outlineLevel="2" collapsed="false">
      <c r="B61" s="11"/>
      <c r="C61" s="33" t="s">
        <v>64</v>
      </c>
      <c r="D61" s="50"/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4" t="n">
        <v>0</v>
      </c>
      <c r="O61" s="34" t="n">
        <v>0</v>
      </c>
      <c r="P61" s="34" t="n">
        <v>0</v>
      </c>
      <c r="Q61" s="34"/>
      <c r="S61" s="35" t="n">
        <f aca="false">SUM(E61:P61)</f>
        <v>0</v>
      </c>
      <c r="T61" s="27"/>
    </row>
    <row r="62" s="6" customFormat="true" ht="18" hidden="false" customHeight="true" outlineLevel="2" collapsed="false">
      <c r="B62" s="11"/>
      <c r="C62" s="51" t="s">
        <v>65</v>
      </c>
      <c r="D62" s="50"/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4" t="n">
        <v>0</v>
      </c>
      <c r="O62" s="34" t="n">
        <v>0</v>
      </c>
      <c r="P62" s="34" t="n">
        <v>0</v>
      </c>
      <c r="Q62" s="34"/>
      <c r="S62" s="35" t="n">
        <f aca="false">SUM(E62:P62)</f>
        <v>0</v>
      </c>
      <c r="T62" s="27"/>
    </row>
    <row r="63" s="6" customFormat="true" ht="18" hidden="false" customHeight="true" outlineLevel="2" collapsed="false">
      <c r="B63" s="11"/>
      <c r="C63" s="52" t="s">
        <v>66</v>
      </c>
      <c r="D63" s="50"/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-300000</v>
      </c>
      <c r="L63" s="34" t="n">
        <v>-100000</v>
      </c>
      <c r="M63" s="34" t="n">
        <v>-100000</v>
      </c>
      <c r="N63" s="34" t="n">
        <v>-100000</v>
      </c>
      <c r="O63" s="34" t="n">
        <v>-100000</v>
      </c>
      <c r="P63" s="34" t="n">
        <v>-100000</v>
      </c>
      <c r="Q63" s="34"/>
      <c r="S63" s="35" t="n">
        <f aca="false">SUM(E63:P63)</f>
        <v>-800000</v>
      </c>
      <c r="T63" s="27"/>
    </row>
    <row r="64" s="6" customFormat="true" ht="18" hidden="false" customHeight="true" outlineLevel="0" collapsed="false">
      <c r="B64" s="11" t="n">
        <v>5</v>
      </c>
      <c r="C64" s="47" t="s">
        <v>67</v>
      </c>
      <c r="D64" s="50"/>
      <c r="E64" s="35" t="n">
        <f aca="false">SUM(E65:E76)</f>
        <v>-1500000</v>
      </c>
      <c r="F64" s="35" t="n">
        <f aca="false">SUM(F65:F76)</f>
        <v>0</v>
      </c>
      <c r="G64" s="35" t="n">
        <f aca="false">SUM(G65:G76)</f>
        <v>0</v>
      </c>
      <c r="H64" s="35" t="n">
        <f aca="false">SUM(H65:H76)</f>
        <v>0</v>
      </c>
      <c r="I64" s="35" t="n">
        <f aca="false">SUM(I65:I76)</f>
        <v>0</v>
      </c>
      <c r="J64" s="35" t="n">
        <f aca="false">SUM(J65:J76)</f>
        <v>0</v>
      </c>
      <c r="K64" s="35" t="n">
        <f aca="false">SUM(K65:K76)</f>
        <v>0</v>
      </c>
      <c r="L64" s="35" t="n">
        <f aca="false">SUM(L65:L76)</f>
        <v>0</v>
      </c>
      <c r="M64" s="35" t="n">
        <f aca="false">SUM(M65:M76)</f>
        <v>0</v>
      </c>
      <c r="N64" s="35" t="n">
        <f aca="false">SUM(N65:N76)</f>
        <v>0</v>
      </c>
      <c r="O64" s="35" t="n">
        <f aca="false">SUM(O65:O76)</f>
        <v>0</v>
      </c>
      <c r="P64" s="35" t="n">
        <f aca="false">SUM(P65:P76)</f>
        <v>0</v>
      </c>
      <c r="Q64" s="35"/>
      <c r="S64" s="35" t="n">
        <f aca="false">SUM(E64:P64)</f>
        <v>-1500000</v>
      </c>
      <c r="T64" s="27"/>
    </row>
    <row r="65" s="6" customFormat="true" ht="18" hidden="false" customHeight="true" outlineLevel="2" collapsed="false">
      <c r="B65" s="11"/>
      <c r="C65" s="51" t="s">
        <v>68</v>
      </c>
      <c r="D65" s="50"/>
      <c r="E65" s="34" t="n">
        <v>-1500000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4" t="n">
        <v>0</v>
      </c>
      <c r="O65" s="34" t="n">
        <v>0</v>
      </c>
      <c r="P65" s="34" t="n">
        <v>0</v>
      </c>
      <c r="Q65" s="34"/>
      <c r="S65" s="35" t="n">
        <f aca="false">SUM(E65:P65)</f>
        <v>-1500000</v>
      </c>
      <c r="T65" s="27"/>
    </row>
    <row r="66" s="6" customFormat="true" ht="18" hidden="false" customHeight="true" outlineLevel="2" collapsed="false">
      <c r="B66" s="11"/>
      <c r="C66" s="51" t="s">
        <v>69</v>
      </c>
      <c r="D66" s="50"/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4" t="n">
        <v>0</v>
      </c>
      <c r="O66" s="34" t="n">
        <v>0</v>
      </c>
      <c r="P66" s="34" t="n">
        <v>0</v>
      </c>
      <c r="Q66" s="34"/>
      <c r="S66" s="35" t="n">
        <f aca="false">SUM(E66:P66)</f>
        <v>0</v>
      </c>
      <c r="T66" s="27"/>
    </row>
    <row r="67" s="6" customFormat="true" ht="18" hidden="false" customHeight="true" outlineLevel="2" collapsed="false">
      <c r="B67" s="11"/>
      <c r="C67" s="51" t="s">
        <v>70</v>
      </c>
      <c r="D67" s="50"/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4" t="n">
        <v>0</v>
      </c>
      <c r="O67" s="34" t="n">
        <v>0</v>
      </c>
      <c r="P67" s="34" t="n">
        <v>0</v>
      </c>
      <c r="Q67" s="34"/>
      <c r="S67" s="35" t="n">
        <f aca="false">SUM(E67:P67)</f>
        <v>0</v>
      </c>
      <c r="T67" s="27"/>
    </row>
    <row r="68" s="6" customFormat="true" ht="18" hidden="false" customHeight="true" outlineLevel="2" collapsed="false">
      <c r="B68" s="11"/>
      <c r="C68" s="51" t="s">
        <v>71</v>
      </c>
      <c r="D68" s="50"/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4" t="n">
        <v>0</v>
      </c>
      <c r="O68" s="34" t="n">
        <v>0</v>
      </c>
      <c r="P68" s="34" t="n">
        <v>0</v>
      </c>
      <c r="Q68" s="34"/>
      <c r="S68" s="35" t="n">
        <f aca="false">SUM(E68:P68)</f>
        <v>0</v>
      </c>
      <c r="T68" s="27"/>
    </row>
    <row r="69" s="6" customFormat="true" ht="18" hidden="false" customHeight="true" outlineLevel="2" collapsed="false">
      <c r="B69" s="11"/>
      <c r="C69" s="51" t="s">
        <v>72</v>
      </c>
      <c r="D69" s="50"/>
      <c r="E69" s="34" t="n">
        <v>0</v>
      </c>
      <c r="F69" s="34" t="n">
        <v>0</v>
      </c>
      <c r="G69" s="34" t="n">
        <v>0</v>
      </c>
      <c r="H69" s="34" t="n">
        <v>0</v>
      </c>
      <c r="I69" s="34" t="n">
        <v>0</v>
      </c>
      <c r="J69" s="34" t="n">
        <v>0</v>
      </c>
      <c r="K69" s="34" t="n">
        <v>0</v>
      </c>
      <c r="L69" s="34" t="n">
        <v>0</v>
      </c>
      <c r="M69" s="34" t="n">
        <v>0</v>
      </c>
      <c r="N69" s="34" t="n">
        <v>0</v>
      </c>
      <c r="O69" s="34" t="n">
        <v>0</v>
      </c>
      <c r="P69" s="34" t="n">
        <v>0</v>
      </c>
      <c r="Q69" s="34"/>
      <c r="S69" s="35" t="n">
        <f aca="false">SUM(E69:P69)</f>
        <v>0</v>
      </c>
      <c r="T69" s="27"/>
    </row>
    <row r="70" s="6" customFormat="true" ht="18" hidden="false" customHeight="true" outlineLevel="2" collapsed="false">
      <c r="B70" s="11"/>
      <c r="C70" s="51" t="s">
        <v>73</v>
      </c>
      <c r="D70" s="50"/>
      <c r="E70" s="34" t="n">
        <v>0</v>
      </c>
      <c r="F70" s="34" t="n">
        <v>0</v>
      </c>
      <c r="G70" s="34" t="n">
        <v>0</v>
      </c>
      <c r="H70" s="34" t="n">
        <v>0</v>
      </c>
      <c r="I70" s="34" t="n">
        <v>0</v>
      </c>
      <c r="J70" s="34" t="n">
        <v>0</v>
      </c>
      <c r="K70" s="34" t="n">
        <v>0</v>
      </c>
      <c r="L70" s="34" t="n">
        <v>0</v>
      </c>
      <c r="M70" s="34" t="n">
        <v>0</v>
      </c>
      <c r="N70" s="34" t="n">
        <v>0</v>
      </c>
      <c r="O70" s="34" t="n">
        <v>0</v>
      </c>
      <c r="P70" s="34" t="n">
        <v>0</v>
      </c>
      <c r="Q70" s="34"/>
      <c r="S70" s="35" t="n">
        <f aca="false">SUM(E70:P70)</f>
        <v>0</v>
      </c>
      <c r="T70" s="27"/>
    </row>
    <row r="71" s="6" customFormat="true" ht="18" hidden="false" customHeight="true" outlineLevel="2" collapsed="false">
      <c r="B71" s="11"/>
      <c r="C71" s="51" t="s">
        <v>74</v>
      </c>
      <c r="D71" s="50"/>
      <c r="E71" s="34" t="n">
        <v>0</v>
      </c>
      <c r="F71" s="34" t="n">
        <v>0</v>
      </c>
      <c r="G71" s="34" t="n">
        <v>0</v>
      </c>
      <c r="H71" s="34" t="n">
        <v>0</v>
      </c>
      <c r="I71" s="34" t="n">
        <v>0</v>
      </c>
      <c r="J71" s="34" t="n">
        <v>0</v>
      </c>
      <c r="K71" s="34" t="n">
        <v>0</v>
      </c>
      <c r="L71" s="34" t="n">
        <v>0</v>
      </c>
      <c r="M71" s="34" t="n">
        <v>0</v>
      </c>
      <c r="N71" s="34" t="n">
        <v>0</v>
      </c>
      <c r="O71" s="34" t="n">
        <v>0</v>
      </c>
      <c r="P71" s="34" t="n">
        <v>0</v>
      </c>
      <c r="Q71" s="34"/>
      <c r="S71" s="35" t="n">
        <f aca="false">SUM(E71:P71)</f>
        <v>0</v>
      </c>
      <c r="T71" s="27"/>
    </row>
    <row r="72" s="6" customFormat="true" ht="18" hidden="false" customHeight="true" outlineLevel="2" collapsed="false">
      <c r="B72" s="11"/>
      <c r="C72" s="51" t="s">
        <v>75</v>
      </c>
      <c r="D72" s="50"/>
      <c r="E72" s="34" t="n">
        <v>0</v>
      </c>
      <c r="F72" s="34" t="n">
        <v>0</v>
      </c>
      <c r="G72" s="34" t="n">
        <v>0</v>
      </c>
      <c r="H72" s="34" t="n">
        <v>0</v>
      </c>
      <c r="I72" s="34" t="n">
        <v>0</v>
      </c>
      <c r="J72" s="34" t="n">
        <v>0</v>
      </c>
      <c r="K72" s="34" t="n">
        <v>0</v>
      </c>
      <c r="L72" s="34" t="n">
        <v>0</v>
      </c>
      <c r="M72" s="34" t="n">
        <v>0</v>
      </c>
      <c r="N72" s="34" t="n">
        <v>0</v>
      </c>
      <c r="O72" s="34" t="n">
        <v>0</v>
      </c>
      <c r="P72" s="34" t="n">
        <v>0</v>
      </c>
      <c r="Q72" s="34"/>
      <c r="S72" s="35" t="n">
        <f aca="false">SUM(E72:P72)</f>
        <v>0</v>
      </c>
      <c r="T72" s="27"/>
    </row>
    <row r="73" s="6" customFormat="true" ht="18" hidden="false" customHeight="true" outlineLevel="2" collapsed="false">
      <c r="B73" s="11"/>
      <c r="C73" s="51" t="s">
        <v>76</v>
      </c>
      <c r="D73" s="50"/>
      <c r="E73" s="34" t="n">
        <v>0</v>
      </c>
      <c r="F73" s="34" t="n">
        <v>0</v>
      </c>
      <c r="G73" s="34" t="n">
        <v>0</v>
      </c>
      <c r="H73" s="34" t="n">
        <v>0</v>
      </c>
      <c r="I73" s="34" t="n">
        <v>0</v>
      </c>
      <c r="J73" s="34" t="n">
        <v>0</v>
      </c>
      <c r="K73" s="34" t="n">
        <v>0</v>
      </c>
      <c r="L73" s="34" t="n">
        <v>0</v>
      </c>
      <c r="M73" s="34" t="n">
        <v>0</v>
      </c>
      <c r="N73" s="34" t="n">
        <v>0</v>
      </c>
      <c r="O73" s="34" t="n">
        <v>0</v>
      </c>
      <c r="P73" s="34" t="n">
        <v>0</v>
      </c>
      <c r="Q73" s="34"/>
      <c r="S73" s="35" t="n">
        <f aca="false">SUM(E73:P73)</f>
        <v>0</v>
      </c>
      <c r="T73" s="27"/>
    </row>
    <row r="74" s="6" customFormat="true" ht="18" hidden="false" customHeight="true" outlineLevel="2" collapsed="false">
      <c r="B74" s="11"/>
      <c r="C74" s="38" t="s">
        <v>77</v>
      </c>
      <c r="D74" s="50"/>
      <c r="E74" s="34" t="n">
        <v>0</v>
      </c>
      <c r="F74" s="34" t="n">
        <v>0</v>
      </c>
      <c r="G74" s="34" t="n">
        <v>0</v>
      </c>
      <c r="H74" s="34" t="n">
        <v>0</v>
      </c>
      <c r="I74" s="34" t="n">
        <v>0</v>
      </c>
      <c r="J74" s="34" t="n">
        <v>0</v>
      </c>
      <c r="K74" s="34" t="n">
        <v>0</v>
      </c>
      <c r="L74" s="34" t="n">
        <v>0</v>
      </c>
      <c r="M74" s="34" t="n">
        <v>0</v>
      </c>
      <c r="N74" s="34" t="n">
        <v>0</v>
      </c>
      <c r="O74" s="34" t="n">
        <v>0</v>
      </c>
      <c r="P74" s="34" t="n">
        <v>0</v>
      </c>
      <c r="Q74" s="34"/>
      <c r="S74" s="35" t="n">
        <f aca="false">SUM(E74:P74)</f>
        <v>0</v>
      </c>
      <c r="T74" s="27"/>
    </row>
    <row r="75" s="6" customFormat="true" ht="18" hidden="false" customHeight="true" outlineLevel="2" collapsed="false">
      <c r="B75" s="11"/>
      <c r="C75" s="38" t="s">
        <v>78</v>
      </c>
      <c r="D75" s="50"/>
      <c r="E75" s="34" t="n">
        <v>0</v>
      </c>
      <c r="F75" s="34" t="n">
        <v>0</v>
      </c>
      <c r="G75" s="34" t="n">
        <v>0</v>
      </c>
      <c r="H75" s="34" t="n">
        <v>0</v>
      </c>
      <c r="I75" s="34" t="n">
        <v>0</v>
      </c>
      <c r="J75" s="34" t="n">
        <v>0</v>
      </c>
      <c r="K75" s="34" t="n">
        <v>0</v>
      </c>
      <c r="L75" s="34" t="n">
        <v>0</v>
      </c>
      <c r="M75" s="34" t="n">
        <v>0</v>
      </c>
      <c r="N75" s="34" t="n">
        <v>0</v>
      </c>
      <c r="O75" s="34" t="n">
        <v>0</v>
      </c>
      <c r="P75" s="34" t="n">
        <v>0</v>
      </c>
      <c r="Q75" s="34"/>
      <c r="S75" s="35" t="n">
        <f aca="false">SUM(E75:P75)</f>
        <v>0</v>
      </c>
      <c r="T75" s="27"/>
    </row>
    <row r="76" s="6" customFormat="true" ht="18" hidden="false" customHeight="true" outlineLevel="2" collapsed="false">
      <c r="B76" s="11"/>
      <c r="C76" s="38" t="s">
        <v>79</v>
      </c>
      <c r="D76" s="50"/>
      <c r="E76" s="34" t="n">
        <v>0</v>
      </c>
      <c r="F76" s="34" t="n">
        <v>0</v>
      </c>
      <c r="G76" s="34" t="n">
        <v>0</v>
      </c>
      <c r="H76" s="34" t="n">
        <v>0</v>
      </c>
      <c r="I76" s="34" t="n">
        <v>0</v>
      </c>
      <c r="J76" s="34" t="n">
        <v>0</v>
      </c>
      <c r="K76" s="34" t="n">
        <v>0</v>
      </c>
      <c r="L76" s="34" t="n">
        <v>0</v>
      </c>
      <c r="M76" s="34" t="n">
        <v>0</v>
      </c>
      <c r="N76" s="34" t="n">
        <v>0</v>
      </c>
      <c r="O76" s="34" t="n">
        <v>0</v>
      </c>
      <c r="P76" s="34" t="n">
        <v>0</v>
      </c>
      <c r="Q76" s="34"/>
      <c r="S76" s="35" t="n">
        <f aca="false">SUM(E76:P76)</f>
        <v>0</v>
      </c>
      <c r="T76" s="27"/>
    </row>
    <row r="77" s="6" customFormat="true" ht="18" hidden="false" customHeight="true" outlineLevel="0" collapsed="false">
      <c r="B77" s="11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S77" s="40"/>
      <c r="T77" s="27"/>
    </row>
    <row r="78" s="53" customFormat="true" ht="18" hidden="false" customHeight="true" outlineLevel="0" collapsed="false">
      <c r="B78" s="54"/>
      <c r="C78" s="55" t="s">
        <v>80</v>
      </c>
      <c r="D78" s="50"/>
      <c r="E78" s="56" t="n">
        <f aca="false">SUM(E26,E33,E37,E51,E64)</f>
        <v>-21225418</v>
      </c>
      <c r="F78" s="56" t="n">
        <f aca="false">SUM(F26,F33,F37,F51,F64)</f>
        <v>-19725418</v>
      </c>
      <c r="G78" s="56" t="n">
        <f aca="false">SUM(G26,G33,G37,G51,G64)</f>
        <v>-19725418</v>
      </c>
      <c r="H78" s="56" t="n">
        <f aca="false">SUM(H26,H33,H37,H51,H64)</f>
        <v>-19725418</v>
      </c>
      <c r="I78" s="56" t="n">
        <f aca="false">SUM(I26,I33,I37,I51,I64)</f>
        <v>-9112277</v>
      </c>
      <c r="J78" s="56" t="n">
        <f aca="false">SUM(J26,J33,J37,J51,J64)</f>
        <v>-9112277</v>
      </c>
      <c r="K78" s="56" t="n">
        <f aca="false">SUM(K26,K33,K37,K51,K64)</f>
        <v>-9712277</v>
      </c>
      <c r="L78" s="56" t="n">
        <f aca="false">SUM(L26,L33,L37,L51,L64)</f>
        <v>-9312277</v>
      </c>
      <c r="M78" s="56" t="n">
        <f aca="false">SUM(M26,M33,M37,M51,M64)</f>
        <v>-9312277</v>
      </c>
      <c r="N78" s="56" t="n">
        <f aca="false">SUM(N26,N33,N37,N51,N64)</f>
        <v>-9212277</v>
      </c>
      <c r="O78" s="56" t="n">
        <f aca="false">SUM(O26,O33,O37,O51,O64)</f>
        <v>-22298677</v>
      </c>
      <c r="P78" s="56" t="n">
        <f aca="false">SUM(P26,P33,P37,P51,P64)</f>
        <v>-22298677</v>
      </c>
      <c r="Q78" s="56"/>
      <c r="R78" s="57"/>
      <c r="S78" s="56" t="n">
        <f aca="false">SUM(E78:P78)</f>
        <v>-180772688</v>
      </c>
      <c r="T78" s="27"/>
      <c r="U78" s="57"/>
    </row>
    <row r="79" s="53" customFormat="true" ht="13.5" hidden="false" customHeight="true" outlineLevel="0" collapsed="false">
      <c r="B79" s="54"/>
      <c r="C79" s="58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7"/>
      <c r="S79" s="50"/>
      <c r="T79" s="27"/>
      <c r="U79" s="57"/>
    </row>
    <row r="80" s="53" customFormat="true" ht="18" hidden="false" customHeight="true" outlineLevel="0" collapsed="false">
      <c r="B80" s="54"/>
      <c r="C80" s="58" t="s">
        <v>81</v>
      </c>
      <c r="D80" s="50"/>
      <c r="E80" s="59" t="n">
        <f aca="false">SUM(E22,E78)</f>
        <v>1974582</v>
      </c>
      <c r="F80" s="59" t="n">
        <f aca="false">SUM(F22,F78)</f>
        <v>5474582</v>
      </c>
      <c r="G80" s="59" t="n">
        <f aca="false">SUM(G22,G78)</f>
        <v>4474582</v>
      </c>
      <c r="H80" s="59" t="n">
        <f aca="false">SUM(H22,H78)</f>
        <v>4474582</v>
      </c>
      <c r="I80" s="59" t="n">
        <f aca="false">SUM(I22,I78)</f>
        <v>-6812277</v>
      </c>
      <c r="J80" s="59" t="n">
        <f aca="false">SUM(J22,J78)</f>
        <v>-6812277</v>
      </c>
      <c r="K80" s="59" t="n">
        <f aca="false">SUM(K22,K78)</f>
        <v>116112723</v>
      </c>
      <c r="L80" s="59" t="n">
        <f aca="false">SUM(L22,L78)</f>
        <v>-7012277</v>
      </c>
      <c r="M80" s="59" t="n">
        <f aca="false">SUM(M22,M78)</f>
        <v>-7012277</v>
      </c>
      <c r="N80" s="59" t="n">
        <f aca="false">SUM(N22,N78)</f>
        <v>5587723</v>
      </c>
      <c r="O80" s="59" t="n">
        <f aca="false">SUM(O22,O78)</f>
        <v>-14398677</v>
      </c>
      <c r="P80" s="59" t="n">
        <f aca="false">SUM(P22,P78)</f>
        <v>-14398677</v>
      </c>
      <c r="Q80" s="59"/>
      <c r="R80" s="57"/>
      <c r="S80" s="59" t="n">
        <f aca="false">SUM(E80:O80)</f>
        <v>96050989</v>
      </c>
      <c r="T80" s="27"/>
      <c r="U80" s="57"/>
    </row>
    <row r="81" s="53" customFormat="true" ht="18" hidden="false" customHeight="true" outlineLevel="0" collapsed="false">
      <c r="B81" s="54"/>
      <c r="C81" s="58" t="s">
        <v>82</v>
      </c>
      <c r="D81" s="50"/>
      <c r="E81" s="60" t="n">
        <f aca="false">E80/E22</f>
        <v>0.0851112931034483</v>
      </c>
      <c r="F81" s="60" t="n">
        <f aca="false">F80/F22</f>
        <v>0.217245317460317</v>
      </c>
      <c r="G81" s="60" t="n">
        <f aca="false">G80/G22</f>
        <v>0.184900082644628</v>
      </c>
      <c r="H81" s="60" t="n">
        <f aca="false">H80/H22</f>
        <v>0.184900082644628</v>
      </c>
      <c r="I81" s="60" t="n">
        <f aca="false">I80/I22</f>
        <v>-2.96185956521739</v>
      </c>
      <c r="J81" s="60" t="n">
        <f aca="false">J80/J22</f>
        <v>-2.96185956521739</v>
      </c>
      <c r="K81" s="60" t="n">
        <f aca="false">K80/K22</f>
        <v>0.922811229882774</v>
      </c>
      <c r="L81" s="60" t="n">
        <f aca="false">L80/L22</f>
        <v>-3.04881608695652</v>
      </c>
      <c r="M81" s="60" t="n">
        <f aca="false">M80/M22</f>
        <v>-3.04881608695652</v>
      </c>
      <c r="N81" s="60" t="n">
        <f aca="false">N80/N22</f>
        <v>0.377548851351351</v>
      </c>
      <c r="O81" s="60" t="n">
        <f aca="false">O80/O22</f>
        <v>-1.82261734177215</v>
      </c>
      <c r="P81" s="60" t="n">
        <f aca="false">P80/P22</f>
        <v>-1.82261734177215</v>
      </c>
      <c r="Q81" s="60"/>
      <c r="R81" s="57"/>
      <c r="S81" s="61" t="n">
        <f aca="false">SUM(E81:P81)</f>
        <v>-13.694069130805</v>
      </c>
      <c r="T81" s="27"/>
      <c r="U81" s="57"/>
    </row>
    <row r="82" s="53" customFormat="true" ht="18" hidden="false" customHeight="true" outlineLevel="0" collapsed="false">
      <c r="B82" s="54"/>
      <c r="C82" s="58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7"/>
      <c r="S82" s="50"/>
      <c r="T82" s="27"/>
      <c r="U82" s="57"/>
    </row>
    <row r="83" s="6" customFormat="true" ht="18" hidden="false" customHeight="true" outlineLevel="0" collapsed="false">
      <c r="B83" s="11" t="s">
        <v>83</v>
      </c>
      <c r="C83" s="43" t="s">
        <v>84</v>
      </c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S83" s="50"/>
      <c r="T83" s="27"/>
    </row>
    <row r="84" s="6" customFormat="true" ht="18" hidden="false" customHeight="true" outlineLevel="0" collapsed="false">
      <c r="B84" s="11" t="n">
        <v>1</v>
      </c>
      <c r="C84" s="62" t="s">
        <v>85</v>
      </c>
      <c r="D84" s="50"/>
      <c r="E84" s="59" t="n">
        <f aca="false">SUM(E85:E98)</f>
        <v>-8531739</v>
      </c>
      <c r="F84" s="59" t="n">
        <f aca="false">SUM(F85:F98)</f>
        <v>-8025000</v>
      </c>
      <c r="G84" s="59" t="n">
        <f aca="false">SUM(G85:G98)</f>
        <v>-8025000</v>
      </c>
      <c r="H84" s="59" t="n">
        <f aca="false">SUM(H85:H98)</f>
        <v>-8025000</v>
      </c>
      <c r="I84" s="59" t="n">
        <f aca="false">SUM(I85:I98)</f>
        <v>-8025000</v>
      </c>
      <c r="J84" s="59" t="n">
        <f aca="false">SUM(J85:J98)</f>
        <v>-8025000</v>
      </c>
      <c r="K84" s="59" t="n">
        <f aca="false">SUM(K85:K98)</f>
        <v>-8325000</v>
      </c>
      <c r="L84" s="59" t="n">
        <f aca="false">SUM(L85:L98)</f>
        <v>-8125000</v>
      </c>
      <c r="M84" s="59" t="n">
        <f aca="false">SUM(M85:M98)</f>
        <v>-8125000</v>
      </c>
      <c r="N84" s="59" t="n">
        <f aca="false">SUM(N85:N98)</f>
        <v>-8075000</v>
      </c>
      <c r="O84" s="59" t="n">
        <f aca="false">SUM(O85:O98)</f>
        <v>-8075000</v>
      </c>
      <c r="P84" s="59" t="n">
        <f aca="false">SUM(P85:P98)</f>
        <v>-8075000</v>
      </c>
      <c r="Q84" s="59"/>
      <c r="S84" s="59" t="n">
        <f aca="false">SUM(E84:O84)</f>
        <v>-89381739</v>
      </c>
      <c r="T84" s="27"/>
    </row>
    <row r="85" s="6" customFormat="true" ht="18" hidden="false" customHeight="true" outlineLevel="1" collapsed="false">
      <c r="B85" s="11"/>
      <c r="C85" s="63" t="s">
        <v>86</v>
      </c>
      <c r="D85" s="50"/>
      <c r="E85" s="34" t="n">
        <v>-8531739</v>
      </c>
      <c r="F85" s="34" t="n">
        <v>-8025000</v>
      </c>
      <c r="G85" s="34" t="n">
        <v>-8025000</v>
      </c>
      <c r="H85" s="34" t="n">
        <v>-8025000</v>
      </c>
      <c r="I85" s="34" t="n">
        <v>-8025000</v>
      </c>
      <c r="J85" s="34" t="n">
        <v>-8025000</v>
      </c>
      <c r="K85" s="34" t="n">
        <v>-8175000</v>
      </c>
      <c r="L85" s="34" t="n">
        <v>-8075000</v>
      </c>
      <c r="M85" s="34" t="n">
        <v>-8075000</v>
      </c>
      <c r="N85" s="34" t="n">
        <v>-8025000</v>
      </c>
      <c r="O85" s="34" t="n">
        <v>-8025000</v>
      </c>
      <c r="P85" s="34" t="n">
        <v>-8025000</v>
      </c>
      <c r="Q85" s="34"/>
      <c r="S85" s="35" t="n">
        <f aca="false">SUM(E85:O85)</f>
        <v>-89031739</v>
      </c>
      <c r="T85" s="27"/>
    </row>
    <row r="86" s="6" customFormat="true" ht="18" hidden="false" customHeight="true" outlineLevel="1" collapsed="false">
      <c r="B86" s="11"/>
      <c r="C86" s="63" t="s">
        <v>87</v>
      </c>
      <c r="D86" s="50"/>
      <c r="E86" s="34" t="n">
        <v>0</v>
      </c>
      <c r="F86" s="34" t="n">
        <v>0</v>
      </c>
      <c r="G86" s="34" t="n">
        <v>0</v>
      </c>
      <c r="H86" s="34" t="n">
        <v>0</v>
      </c>
      <c r="I86" s="34" t="n">
        <v>0</v>
      </c>
      <c r="J86" s="34" t="n">
        <v>0</v>
      </c>
      <c r="K86" s="34" t="n">
        <v>0</v>
      </c>
      <c r="L86" s="34" t="n">
        <v>0</v>
      </c>
      <c r="M86" s="34" t="n">
        <v>0</v>
      </c>
      <c r="N86" s="34" t="n">
        <v>0</v>
      </c>
      <c r="O86" s="34" t="n">
        <v>0</v>
      </c>
      <c r="P86" s="34" t="n">
        <v>0</v>
      </c>
      <c r="Q86" s="34"/>
      <c r="S86" s="35" t="n">
        <f aca="false">SUM(E86:O86)</f>
        <v>0</v>
      </c>
      <c r="T86" s="27"/>
    </row>
    <row r="87" s="6" customFormat="true" ht="18" hidden="false" customHeight="true" outlineLevel="1" collapsed="false">
      <c r="B87" s="11"/>
      <c r="C87" s="63" t="s">
        <v>88</v>
      </c>
      <c r="D87" s="50"/>
      <c r="E87" s="34" t="n">
        <v>0</v>
      </c>
      <c r="F87" s="34" t="n">
        <v>0</v>
      </c>
      <c r="G87" s="34" t="n">
        <v>0</v>
      </c>
      <c r="H87" s="34" t="n">
        <v>0</v>
      </c>
      <c r="I87" s="34" t="n">
        <v>0</v>
      </c>
      <c r="J87" s="34" t="n">
        <v>0</v>
      </c>
      <c r="K87" s="34" t="n">
        <v>0</v>
      </c>
      <c r="L87" s="34" t="n">
        <v>0</v>
      </c>
      <c r="M87" s="34" t="n">
        <v>0</v>
      </c>
      <c r="N87" s="34" t="n">
        <v>0</v>
      </c>
      <c r="O87" s="34" t="n">
        <v>0</v>
      </c>
      <c r="P87" s="34" t="n">
        <v>0</v>
      </c>
      <c r="Q87" s="34"/>
      <c r="S87" s="35" t="n">
        <f aca="false">SUM(E87:O87)</f>
        <v>0</v>
      </c>
      <c r="T87" s="27"/>
    </row>
    <row r="88" s="6" customFormat="true" ht="18" hidden="false" customHeight="true" outlineLevel="1" collapsed="false">
      <c r="B88" s="11"/>
      <c r="C88" s="63" t="s">
        <v>89</v>
      </c>
      <c r="D88" s="50"/>
      <c r="E88" s="34" t="n">
        <v>0</v>
      </c>
      <c r="F88" s="34" t="n">
        <v>0</v>
      </c>
      <c r="G88" s="34" t="n">
        <v>0</v>
      </c>
      <c r="H88" s="34" t="n">
        <v>0</v>
      </c>
      <c r="I88" s="34" t="n">
        <v>0</v>
      </c>
      <c r="J88" s="34" t="n">
        <v>0</v>
      </c>
      <c r="K88" s="34" t="n">
        <v>0</v>
      </c>
      <c r="L88" s="34" t="n">
        <v>0</v>
      </c>
      <c r="M88" s="34" t="n">
        <v>0</v>
      </c>
      <c r="N88" s="34" t="n">
        <v>0</v>
      </c>
      <c r="O88" s="34" t="n">
        <v>0</v>
      </c>
      <c r="P88" s="34" t="n">
        <v>0</v>
      </c>
      <c r="Q88" s="34"/>
      <c r="S88" s="35" t="n">
        <f aca="false">SUM(E88:O88)</f>
        <v>0</v>
      </c>
      <c r="T88" s="27"/>
    </row>
    <row r="89" s="6" customFormat="true" ht="18" hidden="false" customHeight="true" outlineLevel="1" collapsed="false">
      <c r="B89" s="11"/>
      <c r="C89" s="63" t="s">
        <v>90</v>
      </c>
      <c r="D89" s="50"/>
      <c r="E89" s="34" t="n">
        <v>0</v>
      </c>
      <c r="F89" s="34" t="n">
        <v>0</v>
      </c>
      <c r="G89" s="34" t="n">
        <v>0</v>
      </c>
      <c r="H89" s="34" t="n">
        <v>0</v>
      </c>
      <c r="I89" s="34" t="n">
        <v>0</v>
      </c>
      <c r="J89" s="34" t="n">
        <v>0</v>
      </c>
      <c r="K89" s="34" t="n">
        <v>0</v>
      </c>
      <c r="L89" s="34" t="n">
        <v>0</v>
      </c>
      <c r="M89" s="34" t="n">
        <v>0</v>
      </c>
      <c r="N89" s="34" t="n">
        <v>0</v>
      </c>
      <c r="O89" s="34" t="n">
        <v>0</v>
      </c>
      <c r="P89" s="34" t="n">
        <v>0</v>
      </c>
      <c r="Q89" s="34"/>
      <c r="S89" s="35" t="n">
        <f aca="false">SUM(E89:O89)</f>
        <v>0</v>
      </c>
      <c r="T89" s="27"/>
    </row>
    <row r="90" s="6" customFormat="true" ht="18" hidden="false" customHeight="true" outlineLevel="1" collapsed="false">
      <c r="B90" s="11"/>
      <c r="C90" s="63" t="s">
        <v>91</v>
      </c>
      <c r="D90" s="50"/>
      <c r="E90" s="34" t="n">
        <v>0</v>
      </c>
      <c r="F90" s="34" t="n">
        <v>0</v>
      </c>
      <c r="G90" s="34" t="n">
        <v>0</v>
      </c>
      <c r="H90" s="34" t="n">
        <v>0</v>
      </c>
      <c r="I90" s="34" t="n">
        <v>0</v>
      </c>
      <c r="J90" s="34" t="n">
        <v>0</v>
      </c>
      <c r="K90" s="34" t="n">
        <v>0</v>
      </c>
      <c r="L90" s="34" t="n">
        <v>0</v>
      </c>
      <c r="M90" s="34" t="n">
        <v>0</v>
      </c>
      <c r="N90" s="34" t="n">
        <v>0</v>
      </c>
      <c r="O90" s="34" t="n">
        <v>0</v>
      </c>
      <c r="P90" s="34" t="n">
        <v>0</v>
      </c>
      <c r="Q90" s="34"/>
      <c r="S90" s="35" t="n">
        <f aca="false">SUM(E90:O90)</f>
        <v>0</v>
      </c>
      <c r="T90" s="27"/>
    </row>
    <row r="91" s="6" customFormat="true" ht="18" hidden="false" customHeight="true" outlineLevel="1" collapsed="false">
      <c r="B91" s="11"/>
      <c r="C91" s="63" t="s">
        <v>92</v>
      </c>
      <c r="D91" s="50"/>
      <c r="E91" s="34" t="n">
        <v>0</v>
      </c>
      <c r="F91" s="34" t="n">
        <v>0</v>
      </c>
      <c r="G91" s="34" t="n">
        <v>0</v>
      </c>
      <c r="H91" s="34" t="n">
        <v>0</v>
      </c>
      <c r="I91" s="34" t="n">
        <v>0</v>
      </c>
      <c r="J91" s="34" t="n">
        <v>0</v>
      </c>
      <c r="K91" s="34" t="n">
        <v>0</v>
      </c>
      <c r="L91" s="34" t="n">
        <v>0</v>
      </c>
      <c r="M91" s="34" t="n">
        <v>0</v>
      </c>
      <c r="N91" s="34" t="n">
        <v>0</v>
      </c>
      <c r="O91" s="34" t="n">
        <v>0</v>
      </c>
      <c r="P91" s="34" t="n">
        <v>0</v>
      </c>
      <c r="Q91" s="34"/>
      <c r="S91" s="35" t="n">
        <f aca="false">SUM(E91:O91)</f>
        <v>0</v>
      </c>
      <c r="T91" s="27"/>
    </row>
    <row r="92" s="6" customFormat="true" ht="18" hidden="false" customHeight="true" outlineLevel="1" collapsed="false">
      <c r="B92" s="11"/>
      <c r="C92" s="63" t="s">
        <v>93</v>
      </c>
      <c r="D92" s="50"/>
      <c r="E92" s="34" t="n">
        <v>0</v>
      </c>
      <c r="F92" s="34" t="n">
        <v>0</v>
      </c>
      <c r="G92" s="34" t="n">
        <v>0</v>
      </c>
      <c r="H92" s="34" t="n">
        <v>0</v>
      </c>
      <c r="I92" s="34" t="n">
        <v>0</v>
      </c>
      <c r="J92" s="34" t="n">
        <v>0</v>
      </c>
      <c r="K92" s="34" t="n">
        <v>0</v>
      </c>
      <c r="L92" s="34" t="n">
        <v>0</v>
      </c>
      <c r="M92" s="34" t="n">
        <v>0</v>
      </c>
      <c r="N92" s="34" t="n">
        <v>0</v>
      </c>
      <c r="O92" s="34" t="n">
        <v>0</v>
      </c>
      <c r="P92" s="34" t="n">
        <v>0</v>
      </c>
      <c r="Q92" s="34"/>
      <c r="S92" s="35" t="n">
        <f aca="false">SUM(E92:O92)</f>
        <v>0</v>
      </c>
      <c r="T92" s="27"/>
    </row>
    <row r="93" s="6" customFormat="true" ht="18" hidden="false" customHeight="true" outlineLevel="1" collapsed="false">
      <c r="B93" s="11"/>
      <c r="C93" s="63" t="s">
        <v>94</v>
      </c>
      <c r="D93" s="50"/>
      <c r="E93" s="34" t="n">
        <v>0</v>
      </c>
      <c r="F93" s="34" t="n">
        <v>0</v>
      </c>
      <c r="G93" s="34" t="n">
        <v>0</v>
      </c>
      <c r="H93" s="34" t="n">
        <v>0</v>
      </c>
      <c r="I93" s="34" t="n">
        <v>0</v>
      </c>
      <c r="J93" s="34" t="n">
        <v>0</v>
      </c>
      <c r="K93" s="34" t="n">
        <v>0</v>
      </c>
      <c r="L93" s="34" t="n">
        <v>0</v>
      </c>
      <c r="M93" s="34" t="n">
        <v>0</v>
      </c>
      <c r="N93" s="34" t="n">
        <v>0</v>
      </c>
      <c r="O93" s="34" t="n">
        <v>0</v>
      </c>
      <c r="P93" s="34" t="n">
        <v>0</v>
      </c>
      <c r="Q93" s="34"/>
      <c r="S93" s="35" t="n">
        <f aca="false">SUM(E93:O93)</f>
        <v>0</v>
      </c>
      <c r="T93" s="27"/>
    </row>
    <row r="94" s="6" customFormat="true" ht="18" hidden="false" customHeight="true" outlineLevel="1" collapsed="false">
      <c r="B94" s="11"/>
      <c r="C94" s="63" t="s">
        <v>95</v>
      </c>
      <c r="D94" s="50"/>
      <c r="E94" s="34" t="n">
        <v>0</v>
      </c>
      <c r="F94" s="34" t="n">
        <v>0</v>
      </c>
      <c r="G94" s="34" t="n">
        <v>0</v>
      </c>
      <c r="H94" s="34" t="n">
        <v>0</v>
      </c>
      <c r="I94" s="34" t="n">
        <v>0</v>
      </c>
      <c r="J94" s="34" t="n">
        <v>0</v>
      </c>
      <c r="K94" s="34" t="n">
        <v>0</v>
      </c>
      <c r="L94" s="34" t="n">
        <v>0</v>
      </c>
      <c r="M94" s="34" t="n">
        <v>0</v>
      </c>
      <c r="N94" s="34" t="n">
        <v>0</v>
      </c>
      <c r="O94" s="34" t="n">
        <v>0</v>
      </c>
      <c r="P94" s="34" t="n">
        <v>0</v>
      </c>
      <c r="Q94" s="34"/>
      <c r="S94" s="35" t="n">
        <f aca="false">SUM(E94:O94)</f>
        <v>0</v>
      </c>
      <c r="T94" s="27"/>
    </row>
    <row r="95" s="6" customFormat="true" ht="18" hidden="false" customHeight="true" outlineLevel="1" collapsed="false">
      <c r="B95" s="11"/>
      <c r="C95" s="63" t="s">
        <v>96</v>
      </c>
      <c r="D95" s="50"/>
      <c r="E95" s="34" t="n">
        <v>0</v>
      </c>
      <c r="F95" s="34" t="n">
        <v>0</v>
      </c>
      <c r="G95" s="34" t="n">
        <v>0</v>
      </c>
      <c r="H95" s="34" t="n">
        <v>0</v>
      </c>
      <c r="I95" s="34" t="n">
        <v>0</v>
      </c>
      <c r="J95" s="34" t="n">
        <v>0</v>
      </c>
      <c r="K95" s="34" t="n">
        <v>0</v>
      </c>
      <c r="L95" s="34" t="n">
        <v>0</v>
      </c>
      <c r="M95" s="34" t="n">
        <v>0</v>
      </c>
      <c r="N95" s="34" t="n">
        <v>0</v>
      </c>
      <c r="O95" s="34" t="n">
        <v>0</v>
      </c>
      <c r="P95" s="34" t="n">
        <v>0</v>
      </c>
      <c r="Q95" s="34"/>
      <c r="S95" s="35" t="n">
        <f aca="false">SUM(E95:O95)</f>
        <v>0</v>
      </c>
      <c r="T95" s="27"/>
    </row>
    <row r="96" s="6" customFormat="true" ht="18" hidden="false" customHeight="true" outlineLevel="1" collapsed="false">
      <c r="B96" s="11"/>
      <c r="C96" s="63" t="s">
        <v>97</v>
      </c>
      <c r="D96" s="50"/>
      <c r="E96" s="34" t="n">
        <v>0</v>
      </c>
      <c r="F96" s="34" t="n">
        <v>0</v>
      </c>
      <c r="G96" s="34" t="n">
        <v>0</v>
      </c>
      <c r="H96" s="34" t="n">
        <v>0</v>
      </c>
      <c r="I96" s="34" t="n">
        <v>0</v>
      </c>
      <c r="J96" s="34" t="n">
        <v>0</v>
      </c>
      <c r="K96" s="34" t="n">
        <v>0</v>
      </c>
      <c r="L96" s="34" t="n">
        <v>0</v>
      </c>
      <c r="M96" s="34" t="n">
        <v>0</v>
      </c>
      <c r="N96" s="34" t="n">
        <v>0</v>
      </c>
      <c r="O96" s="34" t="n">
        <v>0</v>
      </c>
      <c r="P96" s="34" t="n">
        <v>0</v>
      </c>
      <c r="Q96" s="34"/>
      <c r="S96" s="35" t="n">
        <f aca="false">SUM(E96:O96)</f>
        <v>0</v>
      </c>
      <c r="T96" s="27"/>
    </row>
    <row r="97" s="6" customFormat="true" ht="18" hidden="false" customHeight="true" outlineLevel="1" collapsed="false">
      <c r="B97" s="11"/>
      <c r="C97" s="63" t="s">
        <v>98</v>
      </c>
      <c r="D97" s="50"/>
      <c r="E97" s="34" t="n">
        <v>0</v>
      </c>
      <c r="F97" s="34" t="n">
        <v>0</v>
      </c>
      <c r="G97" s="34" t="n">
        <v>0</v>
      </c>
      <c r="H97" s="34" t="n">
        <v>0</v>
      </c>
      <c r="I97" s="34" t="n">
        <v>0</v>
      </c>
      <c r="J97" s="34" t="n">
        <v>0</v>
      </c>
      <c r="K97" s="34" t="n">
        <v>-150000</v>
      </c>
      <c r="L97" s="34" t="n">
        <v>-50000</v>
      </c>
      <c r="M97" s="34" t="n">
        <v>-50000</v>
      </c>
      <c r="N97" s="34" t="n">
        <v>-50000</v>
      </c>
      <c r="O97" s="34" t="n">
        <v>-50000</v>
      </c>
      <c r="P97" s="34" t="n">
        <v>-50000</v>
      </c>
      <c r="Q97" s="34"/>
      <c r="S97" s="35" t="n">
        <f aca="false">SUM(E97:O97)</f>
        <v>-350000</v>
      </c>
      <c r="T97" s="27"/>
    </row>
    <row r="98" s="6" customFormat="true" ht="18" hidden="false" customHeight="true" outlineLevel="1" collapsed="false">
      <c r="B98" s="11"/>
      <c r="C98" s="63" t="s">
        <v>99</v>
      </c>
      <c r="D98" s="50"/>
      <c r="E98" s="34" t="n">
        <v>0</v>
      </c>
      <c r="F98" s="34" t="n">
        <v>0</v>
      </c>
      <c r="G98" s="34" t="n">
        <v>0</v>
      </c>
      <c r="H98" s="34" t="n">
        <v>0</v>
      </c>
      <c r="I98" s="34" t="n">
        <v>0</v>
      </c>
      <c r="J98" s="34" t="n">
        <v>0</v>
      </c>
      <c r="K98" s="34" t="n">
        <v>0</v>
      </c>
      <c r="L98" s="34" t="n">
        <v>0</v>
      </c>
      <c r="M98" s="34" t="n">
        <v>0</v>
      </c>
      <c r="N98" s="34" t="n">
        <v>0</v>
      </c>
      <c r="O98" s="34" t="n">
        <v>0</v>
      </c>
      <c r="P98" s="34" t="n">
        <v>0</v>
      </c>
      <c r="Q98" s="34"/>
      <c r="S98" s="35" t="n">
        <f aca="false">SUM(E98:O98)</f>
        <v>0</v>
      </c>
      <c r="T98" s="27"/>
    </row>
    <row r="99" s="45" customFormat="true" ht="18" hidden="false" customHeight="true" outlineLevel="0" collapsed="false">
      <c r="B99" s="11" t="n">
        <v>2</v>
      </c>
      <c r="C99" s="64" t="s">
        <v>100</v>
      </c>
      <c r="D99" s="50"/>
      <c r="E99" s="35" t="n">
        <f aca="false">SUM(E100:E101)</f>
        <v>0</v>
      </c>
      <c r="F99" s="35" t="n">
        <f aca="false">SUM(F100:F101)</f>
        <v>0</v>
      </c>
      <c r="G99" s="35" t="n">
        <f aca="false">SUM(G100:G101)</f>
        <v>0</v>
      </c>
      <c r="H99" s="35" t="n">
        <f aca="false">SUM(H100:H101)</f>
        <v>0</v>
      </c>
      <c r="I99" s="35" t="n">
        <f aca="false">SUM(I100:I101)</f>
        <v>0</v>
      </c>
      <c r="J99" s="35" t="n">
        <f aca="false">SUM(J100:J101)</f>
        <v>0</v>
      </c>
      <c r="K99" s="35" t="n">
        <f aca="false">SUM(K100:K101)</f>
        <v>0</v>
      </c>
      <c r="L99" s="35" t="n">
        <f aca="false">SUM(L100:L101)</f>
        <v>0</v>
      </c>
      <c r="M99" s="35" t="n">
        <f aca="false">SUM(M100:M101)</f>
        <v>0</v>
      </c>
      <c r="N99" s="35" t="n">
        <f aca="false">SUM(N100:N101)</f>
        <v>0</v>
      </c>
      <c r="O99" s="35" t="n">
        <f aca="false">SUM(O100:O101)</f>
        <v>0</v>
      </c>
      <c r="P99" s="35" t="n">
        <f aca="false">SUM(P100:P101)</f>
        <v>0</v>
      </c>
      <c r="Q99" s="35"/>
      <c r="S99" s="35" t="n">
        <f aca="false">SUM(E99:O99)</f>
        <v>0</v>
      </c>
      <c r="T99" s="27"/>
    </row>
    <row r="100" s="6" customFormat="true" ht="18" hidden="false" customHeight="true" outlineLevel="1" collapsed="false">
      <c r="B100" s="11"/>
      <c r="C100" s="63" t="s">
        <v>101</v>
      </c>
      <c r="D100" s="50"/>
      <c r="E100" s="34" t="n">
        <v>0</v>
      </c>
      <c r="F100" s="34" t="n">
        <v>0</v>
      </c>
      <c r="G100" s="34" t="n">
        <v>0</v>
      </c>
      <c r="H100" s="34" t="n">
        <v>0</v>
      </c>
      <c r="I100" s="34" t="n">
        <v>0</v>
      </c>
      <c r="J100" s="34" t="n">
        <v>0</v>
      </c>
      <c r="K100" s="34" t="n">
        <v>0</v>
      </c>
      <c r="L100" s="34" t="n">
        <v>0</v>
      </c>
      <c r="M100" s="34" t="n">
        <v>0</v>
      </c>
      <c r="N100" s="34" t="n">
        <v>0</v>
      </c>
      <c r="O100" s="34" t="n">
        <v>0</v>
      </c>
      <c r="P100" s="34" t="n">
        <v>0</v>
      </c>
      <c r="Q100" s="34"/>
      <c r="S100" s="35" t="n">
        <f aca="false">SUM(E100:O100)</f>
        <v>0</v>
      </c>
      <c r="T100" s="27"/>
    </row>
    <row r="101" s="6" customFormat="true" ht="18" hidden="false" customHeight="true" outlineLevel="1" collapsed="false">
      <c r="B101" s="11"/>
      <c r="C101" s="63" t="s">
        <v>102</v>
      </c>
      <c r="D101" s="50"/>
      <c r="E101" s="34" t="n">
        <v>0</v>
      </c>
      <c r="F101" s="34" t="n">
        <v>0</v>
      </c>
      <c r="G101" s="34" t="n">
        <v>0</v>
      </c>
      <c r="H101" s="34" t="n">
        <v>0</v>
      </c>
      <c r="I101" s="34" t="n">
        <v>0</v>
      </c>
      <c r="J101" s="34" t="n">
        <v>0</v>
      </c>
      <c r="K101" s="34" t="n">
        <v>0</v>
      </c>
      <c r="L101" s="34" t="n">
        <v>0</v>
      </c>
      <c r="M101" s="34" t="n">
        <v>0</v>
      </c>
      <c r="N101" s="34" t="n">
        <v>0</v>
      </c>
      <c r="O101" s="34" t="n">
        <v>0</v>
      </c>
      <c r="P101" s="34" t="n">
        <v>0</v>
      </c>
      <c r="Q101" s="34"/>
      <c r="S101" s="35" t="n">
        <f aca="false">SUM(E101:O101)</f>
        <v>0</v>
      </c>
      <c r="T101" s="27"/>
    </row>
    <row r="102" s="6" customFormat="true" ht="18" hidden="false" customHeight="true" outlineLevel="1" collapsed="false">
      <c r="B102" s="11"/>
      <c r="C102" s="65"/>
      <c r="D102" s="50"/>
      <c r="E102" s="34" t="n">
        <v>0</v>
      </c>
      <c r="F102" s="34" t="n">
        <v>0</v>
      </c>
      <c r="G102" s="34" t="n">
        <v>0</v>
      </c>
      <c r="H102" s="34" t="n">
        <v>0</v>
      </c>
      <c r="I102" s="34" t="n">
        <v>0</v>
      </c>
      <c r="J102" s="34" t="n">
        <v>0</v>
      </c>
      <c r="K102" s="34" t="n">
        <v>0</v>
      </c>
      <c r="L102" s="34" t="n">
        <v>0</v>
      </c>
      <c r="M102" s="34" t="n">
        <v>0</v>
      </c>
      <c r="N102" s="34" t="n">
        <v>0</v>
      </c>
      <c r="O102" s="34" t="n">
        <v>0</v>
      </c>
      <c r="P102" s="34" t="n">
        <v>0</v>
      </c>
      <c r="Q102" s="34"/>
      <c r="S102" s="35" t="n">
        <f aca="false">SUM(E102:O102)</f>
        <v>0</v>
      </c>
      <c r="T102" s="27"/>
    </row>
    <row r="103" s="45" customFormat="true" ht="18" hidden="false" customHeight="true" outlineLevel="0" collapsed="false">
      <c r="B103" s="11" t="n">
        <v>3</v>
      </c>
      <c r="C103" s="64" t="s">
        <v>103</v>
      </c>
      <c r="D103" s="50"/>
      <c r="E103" s="35" t="n">
        <f aca="false">SUM(E104:E114)</f>
        <v>0</v>
      </c>
      <c r="F103" s="35" t="n">
        <f aca="false">SUM(F104:F114)</f>
        <v>-780000</v>
      </c>
      <c r="G103" s="35" t="n">
        <f aca="false">SUM(G104:G114)</f>
        <v>0</v>
      </c>
      <c r="H103" s="35" t="n">
        <f aca="false">SUM(H104:H114)</f>
        <v>-246690</v>
      </c>
      <c r="I103" s="35" t="n">
        <f aca="false">SUM(I104:I114)</f>
        <v>-1550000</v>
      </c>
      <c r="J103" s="35" t="n">
        <f aca="false">SUM(J104:J114)</f>
        <v>0</v>
      </c>
      <c r="K103" s="35" t="n">
        <f aca="false">SUM(K104:K114)</f>
        <v>0</v>
      </c>
      <c r="L103" s="35" t="n">
        <f aca="false">SUM(L104:L114)</f>
        <v>0</v>
      </c>
      <c r="M103" s="35" t="n">
        <f aca="false">SUM(M104:M114)</f>
        <v>0</v>
      </c>
      <c r="N103" s="35" t="n">
        <f aca="false">SUM(N104:N114)</f>
        <v>0</v>
      </c>
      <c r="O103" s="35" t="n">
        <f aca="false">SUM(O104:O114)</f>
        <v>-600000</v>
      </c>
      <c r="P103" s="35" t="n">
        <f aca="false">SUM(P104:P114)</f>
        <v>-600000</v>
      </c>
      <c r="Q103" s="35"/>
      <c r="S103" s="35" t="n">
        <f aca="false">SUM(E103:O103)</f>
        <v>-3176690</v>
      </c>
      <c r="T103" s="27"/>
    </row>
    <row r="104" s="6" customFormat="true" ht="18" hidden="false" customHeight="true" outlineLevel="1" collapsed="false">
      <c r="B104" s="11"/>
      <c r="C104" s="63" t="s">
        <v>104</v>
      </c>
      <c r="D104" s="50"/>
      <c r="E104" s="66" t="n">
        <v>0</v>
      </c>
      <c r="F104" s="66" t="n">
        <v>-780000</v>
      </c>
      <c r="G104" s="66" t="n">
        <v>0</v>
      </c>
      <c r="H104" s="66" t="n">
        <v>-246690</v>
      </c>
      <c r="I104" s="66" t="n">
        <v>-1550000</v>
      </c>
      <c r="J104" s="66" t="n">
        <v>0</v>
      </c>
      <c r="K104" s="66" t="n">
        <v>0</v>
      </c>
      <c r="L104" s="66" t="n">
        <v>0</v>
      </c>
      <c r="M104" s="66" t="n">
        <v>0</v>
      </c>
      <c r="N104" s="66" t="n">
        <v>0</v>
      </c>
      <c r="O104" s="66" t="n">
        <v>0</v>
      </c>
      <c r="P104" s="66" t="n">
        <v>0</v>
      </c>
      <c r="Q104" s="66"/>
      <c r="S104" s="66" t="n">
        <f aca="false">SUM(E104:O104)</f>
        <v>-2576690</v>
      </c>
      <c r="T104" s="27"/>
    </row>
    <row r="105" s="6" customFormat="true" ht="18" hidden="false" customHeight="true" outlineLevel="1" collapsed="false">
      <c r="B105" s="11"/>
      <c r="C105" s="63" t="s">
        <v>105</v>
      </c>
      <c r="D105" s="50"/>
      <c r="E105" s="66" t="n">
        <v>0</v>
      </c>
      <c r="F105" s="66" t="n">
        <v>0</v>
      </c>
      <c r="G105" s="66" t="n">
        <v>0</v>
      </c>
      <c r="H105" s="66" t="n">
        <v>0</v>
      </c>
      <c r="I105" s="66" t="n">
        <v>0</v>
      </c>
      <c r="J105" s="66" t="n">
        <v>0</v>
      </c>
      <c r="K105" s="66" t="n">
        <v>0</v>
      </c>
      <c r="L105" s="66" t="n">
        <v>0</v>
      </c>
      <c r="M105" s="66" t="n">
        <v>0</v>
      </c>
      <c r="N105" s="66" t="n">
        <v>0</v>
      </c>
      <c r="O105" s="66" t="n">
        <v>0</v>
      </c>
      <c r="P105" s="66" t="n">
        <v>0</v>
      </c>
      <c r="Q105" s="66"/>
      <c r="S105" s="66" t="n">
        <f aca="false">SUM(E105:O105)</f>
        <v>0</v>
      </c>
      <c r="T105" s="27"/>
    </row>
    <row r="106" s="6" customFormat="true" ht="18" hidden="false" customHeight="true" outlineLevel="1" collapsed="false">
      <c r="B106" s="11"/>
      <c r="C106" s="63" t="s">
        <v>106</v>
      </c>
      <c r="D106" s="50"/>
      <c r="E106" s="66" t="n">
        <v>0</v>
      </c>
      <c r="F106" s="66" t="n">
        <v>0</v>
      </c>
      <c r="G106" s="66" t="n">
        <v>0</v>
      </c>
      <c r="H106" s="66" t="n">
        <v>0</v>
      </c>
      <c r="I106" s="66" t="n">
        <v>0</v>
      </c>
      <c r="J106" s="66" t="n">
        <v>0</v>
      </c>
      <c r="K106" s="66" t="n">
        <v>0</v>
      </c>
      <c r="L106" s="66" t="n">
        <v>0</v>
      </c>
      <c r="M106" s="66" t="n">
        <v>0</v>
      </c>
      <c r="N106" s="66" t="n">
        <v>0</v>
      </c>
      <c r="O106" s="66" t="n">
        <v>0</v>
      </c>
      <c r="P106" s="66" t="n">
        <v>0</v>
      </c>
      <c r="Q106" s="66"/>
      <c r="S106" s="66" t="n">
        <f aca="false">SUM(E106:O106)</f>
        <v>0</v>
      </c>
      <c r="T106" s="27"/>
    </row>
    <row r="107" s="6" customFormat="true" ht="18" hidden="false" customHeight="true" outlineLevel="1" collapsed="false">
      <c r="B107" s="11"/>
      <c r="C107" s="63" t="s">
        <v>107</v>
      </c>
      <c r="D107" s="50"/>
      <c r="E107" s="66" t="n">
        <v>0</v>
      </c>
      <c r="F107" s="66" t="n">
        <v>0</v>
      </c>
      <c r="G107" s="66" t="n">
        <v>0</v>
      </c>
      <c r="H107" s="66" t="n">
        <v>0</v>
      </c>
      <c r="I107" s="66" t="n">
        <v>0</v>
      </c>
      <c r="J107" s="66" t="n">
        <v>0</v>
      </c>
      <c r="K107" s="66" t="n">
        <v>0</v>
      </c>
      <c r="L107" s="66" t="n">
        <v>0</v>
      </c>
      <c r="M107" s="66" t="n">
        <v>0</v>
      </c>
      <c r="N107" s="66" t="n">
        <v>0</v>
      </c>
      <c r="O107" s="66" t="n">
        <v>0</v>
      </c>
      <c r="P107" s="66" t="n">
        <v>0</v>
      </c>
      <c r="Q107" s="66"/>
      <c r="S107" s="66" t="n">
        <f aca="false">SUM(E107:O107)</f>
        <v>0</v>
      </c>
      <c r="T107" s="27"/>
    </row>
    <row r="108" s="6" customFormat="true" ht="18" hidden="false" customHeight="true" outlineLevel="1" collapsed="false">
      <c r="B108" s="11"/>
      <c r="C108" s="63" t="s">
        <v>108</v>
      </c>
      <c r="D108" s="50"/>
      <c r="E108" s="66" t="n">
        <v>0</v>
      </c>
      <c r="F108" s="66" t="n">
        <v>0</v>
      </c>
      <c r="G108" s="66" t="n">
        <v>0</v>
      </c>
      <c r="H108" s="66" t="n">
        <v>0</v>
      </c>
      <c r="I108" s="66" t="n">
        <v>0</v>
      </c>
      <c r="J108" s="66" t="n">
        <v>0</v>
      </c>
      <c r="K108" s="66" t="n">
        <v>0</v>
      </c>
      <c r="L108" s="66" t="n">
        <v>0</v>
      </c>
      <c r="M108" s="66" t="n">
        <v>0</v>
      </c>
      <c r="N108" s="66" t="n">
        <v>0</v>
      </c>
      <c r="O108" s="66" t="n">
        <v>0</v>
      </c>
      <c r="P108" s="66" t="n">
        <v>0</v>
      </c>
      <c r="Q108" s="66"/>
      <c r="S108" s="66" t="n">
        <f aca="false">SUM(E108:O108)</f>
        <v>0</v>
      </c>
      <c r="T108" s="27"/>
    </row>
    <row r="109" s="6" customFormat="true" ht="18" hidden="false" customHeight="true" outlineLevel="1" collapsed="false">
      <c r="B109" s="11"/>
      <c r="C109" s="63" t="s">
        <v>109</v>
      </c>
      <c r="D109" s="50"/>
      <c r="E109" s="66" t="n">
        <v>0</v>
      </c>
      <c r="F109" s="66" t="n">
        <v>0</v>
      </c>
      <c r="G109" s="66" t="n">
        <v>0</v>
      </c>
      <c r="H109" s="66" t="n">
        <v>0</v>
      </c>
      <c r="I109" s="66" t="n">
        <v>0</v>
      </c>
      <c r="J109" s="66" t="n">
        <v>0</v>
      </c>
      <c r="K109" s="66" t="n">
        <v>0</v>
      </c>
      <c r="L109" s="66" t="n">
        <v>0</v>
      </c>
      <c r="M109" s="66" t="n">
        <v>0</v>
      </c>
      <c r="N109" s="66" t="n">
        <v>0</v>
      </c>
      <c r="O109" s="66" t="n">
        <v>0</v>
      </c>
      <c r="P109" s="66" t="n">
        <v>0</v>
      </c>
      <c r="Q109" s="66"/>
      <c r="S109" s="66" t="n">
        <f aca="false">SUM(E109:O109)</f>
        <v>0</v>
      </c>
      <c r="T109" s="27"/>
    </row>
    <row r="110" s="6" customFormat="true" ht="18" hidden="false" customHeight="true" outlineLevel="1" collapsed="false">
      <c r="B110" s="11"/>
      <c r="C110" s="63" t="s">
        <v>110</v>
      </c>
      <c r="D110" s="50"/>
      <c r="E110" s="66" t="n">
        <v>0</v>
      </c>
      <c r="F110" s="66" t="n">
        <v>0</v>
      </c>
      <c r="G110" s="66" t="n">
        <v>0</v>
      </c>
      <c r="H110" s="66" t="n">
        <v>0</v>
      </c>
      <c r="I110" s="66" t="n">
        <v>0</v>
      </c>
      <c r="J110" s="66" t="n">
        <v>0</v>
      </c>
      <c r="K110" s="66" t="n">
        <v>0</v>
      </c>
      <c r="L110" s="66" t="n">
        <v>0</v>
      </c>
      <c r="M110" s="66" t="n">
        <v>0</v>
      </c>
      <c r="N110" s="66" t="n">
        <v>0</v>
      </c>
      <c r="O110" s="66" t="n">
        <v>0</v>
      </c>
      <c r="P110" s="66" t="n">
        <v>0</v>
      </c>
      <c r="Q110" s="66"/>
      <c r="S110" s="66" t="n">
        <f aca="false">SUM(E110:O110)</f>
        <v>0</v>
      </c>
      <c r="T110" s="27"/>
    </row>
    <row r="111" s="6" customFormat="true" ht="18" hidden="false" customHeight="true" outlineLevel="1" collapsed="false">
      <c r="B111" s="11"/>
      <c r="C111" s="63" t="s">
        <v>111</v>
      </c>
      <c r="D111" s="50"/>
      <c r="E111" s="66" t="n">
        <v>0</v>
      </c>
      <c r="F111" s="66" t="n">
        <v>0</v>
      </c>
      <c r="G111" s="66" t="n">
        <v>0</v>
      </c>
      <c r="H111" s="66" t="n">
        <v>0</v>
      </c>
      <c r="I111" s="66" t="n">
        <v>0</v>
      </c>
      <c r="J111" s="66" t="n">
        <v>0</v>
      </c>
      <c r="K111" s="66" t="n">
        <v>0</v>
      </c>
      <c r="L111" s="66" t="n">
        <v>0</v>
      </c>
      <c r="M111" s="66" t="n">
        <v>0</v>
      </c>
      <c r="N111" s="66" t="n">
        <v>0</v>
      </c>
      <c r="O111" s="66" t="n">
        <v>0</v>
      </c>
      <c r="P111" s="66" t="n">
        <v>0</v>
      </c>
      <c r="Q111" s="66"/>
      <c r="S111" s="66" t="n">
        <f aca="false">SUM(E111:O111)</f>
        <v>0</v>
      </c>
      <c r="T111" s="27"/>
    </row>
    <row r="112" s="6" customFormat="true" ht="18" hidden="false" customHeight="true" outlineLevel="1" collapsed="false">
      <c r="B112" s="11"/>
      <c r="C112" s="63" t="s">
        <v>112</v>
      </c>
      <c r="D112" s="50"/>
      <c r="E112" s="66" t="n">
        <v>0</v>
      </c>
      <c r="F112" s="66" t="n">
        <v>0</v>
      </c>
      <c r="G112" s="66" t="n">
        <v>0</v>
      </c>
      <c r="H112" s="66" t="n">
        <v>0</v>
      </c>
      <c r="I112" s="66" t="n">
        <v>0</v>
      </c>
      <c r="J112" s="66" t="n">
        <v>0</v>
      </c>
      <c r="K112" s="66" t="n">
        <v>0</v>
      </c>
      <c r="L112" s="66" t="n">
        <v>0</v>
      </c>
      <c r="M112" s="66" t="n">
        <v>0</v>
      </c>
      <c r="N112" s="66" t="n">
        <v>0</v>
      </c>
      <c r="O112" s="66" t="n">
        <v>0</v>
      </c>
      <c r="P112" s="66" t="n">
        <v>0</v>
      </c>
      <c r="Q112" s="66"/>
      <c r="S112" s="66" t="n">
        <f aca="false">SUM(E112:O112)</f>
        <v>0</v>
      </c>
      <c r="T112" s="27"/>
    </row>
    <row r="113" s="6" customFormat="true" ht="18" hidden="false" customHeight="true" outlineLevel="1" collapsed="false">
      <c r="B113" s="11"/>
      <c r="C113" s="63" t="s">
        <v>113</v>
      </c>
      <c r="D113" s="50"/>
      <c r="E113" s="66" t="n">
        <v>0</v>
      </c>
      <c r="F113" s="66" t="n">
        <v>0</v>
      </c>
      <c r="G113" s="66" t="n">
        <v>0</v>
      </c>
      <c r="H113" s="66" t="n">
        <v>0</v>
      </c>
      <c r="I113" s="66" t="n">
        <v>0</v>
      </c>
      <c r="J113" s="66" t="n">
        <v>0</v>
      </c>
      <c r="K113" s="66" t="n">
        <v>0</v>
      </c>
      <c r="L113" s="66" t="n">
        <v>0</v>
      </c>
      <c r="M113" s="66" t="n">
        <v>0</v>
      </c>
      <c r="N113" s="66" t="n">
        <v>0</v>
      </c>
      <c r="O113" s="66" t="n">
        <v>-600000</v>
      </c>
      <c r="P113" s="66" t="n">
        <v>-600000</v>
      </c>
      <c r="Q113" s="66"/>
      <c r="S113" s="66" t="n">
        <f aca="false">SUM(E113:O113)</f>
        <v>-600000</v>
      </c>
      <c r="T113" s="27"/>
    </row>
    <row r="114" s="6" customFormat="true" ht="18" hidden="false" customHeight="true" outlineLevel="1" collapsed="false">
      <c r="B114" s="11"/>
      <c r="C114" s="63" t="s">
        <v>114</v>
      </c>
      <c r="D114" s="50"/>
      <c r="E114" s="66" t="n">
        <v>0</v>
      </c>
      <c r="F114" s="66" t="n">
        <v>0</v>
      </c>
      <c r="G114" s="66" t="n">
        <v>0</v>
      </c>
      <c r="H114" s="66" t="n">
        <v>0</v>
      </c>
      <c r="I114" s="66" t="n">
        <v>0</v>
      </c>
      <c r="J114" s="66" t="n">
        <v>0</v>
      </c>
      <c r="K114" s="66" t="n">
        <v>0</v>
      </c>
      <c r="L114" s="66" t="n">
        <v>0</v>
      </c>
      <c r="M114" s="66" t="n">
        <v>0</v>
      </c>
      <c r="N114" s="66" t="n">
        <v>0</v>
      </c>
      <c r="O114" s="66" t="n">
        <v>0</v>
      </c>
      <c r="P114" s="66" t="n">
        <v>0</v>
      </c>
      <c r="Q114" s="66"/>
      <c r="S114" s="66" t="n">
        <f aca="false">SUM(E114:O114)</f>
        <v>0</v>
      </c>
      <c r="T114" s="27"/>
    </row>
    <row r="115" s="6" customFormat="true" ht="18" hidden="false" customHeight="true" outlineLevel="1" collapsed="false">
      <c r="B115" s="11"/>
      <c r="C115" s="63"/>
      <c r="D115" s="50"/>
      <c r="E115" s="66" t="n">
        <v>0</v>
      </c>
      <c r="F115" s="66" t="n">
        <v>0</v>
      </c>
      <c r="G115" s="66" t="n">
        <v>0</v>
      </c>
      <c r="H115" s="66" t="n">
        <v>0</v>
      </c>
      <c r="I115" s="66" t="n">
        <v>0</v>
      </c>
      <c r="J115" s="66" t="n">
        <v>0</v>
      </c>
      <c r="K115" s="66" t="n">
        <v>0</v>
      </c>
      <c r="L115" s="66" t="n">
        <v>0</v>
      </c>
      <c r="M115" s="66" t="n">
        <v>0</v>
      </c>
      <c r="N115" s="66" t="n">
        <v>0</v>
      </c>
      <c r="O115" s="66" t="n">
        <v>0</v>
      </c>
      <c r="P115" s="66" t="n">
        <v>0</v>
      </c>
      <c r="Q115" s="66"/>
      <c r="S115" s="66" t="n">
        <f aca="false">SUM(E115:O115)</f>
        <v>0</v>
      </c>
      <c r="T115" s="27"/>
    </row>
    <row r="116" s="45" customFormat="true" ht="18" hidden="false" customHeight="true" outlineLevel="0" collapsed="false">
      <c r="B116" s="11" t="n">
        <v>4</v>
      </c>
      <c r="C116" s="64" t="s">
        <v>115</v>
      </c>
      <c r="D116" s="50"/>
      <c r="E116" s="35" t="n">
        <f aca="false">SUM(E117:E121)</f>
        <v>0</v>
      </c>
      <c r="F116" s="35" t="n">
        <f aca="false">SUM(F117:F121)</f>
        <v>0</v>
      </c>
      <c r="G116" s="35" t="n">
        <f aca="false">SUM(G117:G121)</f>
        <v>0</v>
      </c>
      <c r="H116" s="35" t="n">
        <f aca="false">SUM(H117:H121)</f>
        <v>0</v>
      </c>
      <c r="I116" s="35" t="n">
        <f aca="false">SUM(I117:I121)</f>
        <v>0</v>
      </c>
      <c r="J116" s="35" t="n">
        <f aca="false">SUM(J117:J121)</f>
        <v>0</v>
      </c>
      <c r="K116" s="35" t="n">
        <f aca="false">SUM(K117:K121)</f>
        <v>0</v>
      </c>
      <c r="L116" s="35" t="n">
        <f aca="false">SUM(L117:L121)</f>
        <v>0</v>
      </c>
      <c r="M116" s="35" t="n">
        <f aca="false">SUM(M117:M121)</f>
        <v>0</v>
      </c>
      <c r="N116" s="35" t="n">
        <f aca="false">SUM(N117:N121)</f>
        <v>0</v>
      </c>
      <c r="O116" s="35" t="n">
        <f aca="false">SUM(O117:O121)</f>
        <v>0</v>
      </c>
      <c r="P116" s="35" t="n">
        <f aca="false">SUM(P117:P121)</f>
        <v>0</v>
      </c>
      <c r="Q116" s="35"/>
      <c r="S116" s="35" t="n">
        <f aca="false">SUM(E116:O116)</f>
        <v>0</v>
      </c>
      <c r="T116" s="27"/>
    </row>
    <row r="117" s="6" customFormat="true" ht="18" hidden="false" customHeight="true" outlineLevel="1" collapsed="false">
      <c r="B117" s="11"/>
      <c r="C117" s="63" t="s">
        <v>116</v>
      </c>
      <c r="D117" s="50"/>
      <c r="E117" s="34" t="n">
        <v>0</v>
      </c>
      <c r="F117" s="34" t="n">
        <v>0</v>
      </c>
      <c r="G117" s="34" t="n">
        <v>0</v>
      </c>
      <c r="H117" s="34" t="n">
        <v>0</v>
      </c>
      <c r="I117" s="34" t="n">
        <v>0</v>
      </c>
      <c r="J117" s="34" t="n">
        <v>0</v>
      </c>
      <c r="K117" s="34" t="n">
        <v>0</v>
      </c>
      <c r="L117" s="34" t="n">
        <v>0</v>
      </c>
      <c r="M117" s="34" t="n">
        <v>0</v>
      </c>
      <c r="N117" s="34" t="n">
        <v>0</v>
      </c>
      <c r="O117" s="34" t="n">
        <v>0</v>
      </c>
      <c r="P117" s="34" t="n">
        <v>0</v>
      </c>
      <c r="Q117" s="34"/>
      <c r="S117" s="35" t="n">
        <f aca="false">SUM(E117:O117)</f>
        <v>0</v>
      </c>
      <c r="T117" s="27"/>
    </row>
    <row r="118" s="6" customFormat="true" ht="18" hidden="false" customHeight="true" outlineLevel="1" collapsed="false">
      <c r="B118" s="11"/>
      <c r="C118" s="63" t="s">
        <v>117</v>
      </c>
      <c r="D118" s="50"/>
      <c r="E118" s="34" t="n">
        <v>0</v>
      </c>
      <c r="F118" s="34" t="n">
        <v>0</v>
      </c>
      <c r="G118" s="34" t="n">
        <v>0</v>
      </c>
      <c r="H118" s="34" t="n">
        <v>0</v>
      </c>
      <c r="I118" s="34" t="n">
        <v>0</v>
      </c>
      <c r="J118" s="34" t="n">
        <v>0</v>
      </c>
      <c r="K118" s="34" t="n">
        <v>0</v>
      </c>
      <c r="L118" s="34" t="n">
        <v>0</v>
      </c>
      <c r="M118" s="34" t="n">
        <v>0</v>
      </c>
      <c r="N118" s="34" t="n">
        <v>0</v>
      </c>
      <c r="O118" s="34" t="n">
        <v>0</v>
      </c>
      <c r="P118" s="34" t="n">
        <v>0</v>
      </c>
      <c r="Q118" s="34"/>
      <c r="S118" s="35" t="n">
        <f aca="false">SUM(E118:O118)</f>
        <v>0</v>
      </c>
      <c r="T118" s="27"/>
    </row>
    <row r="119" s="6" customFormat="true" ht="18" hidden="false" customHeight="true" outlineLevel="1" collapsed="false">
      <c r="B119" s="11"/>
      <c r="C119" s="63" t="s">
        <v>118</v>
      </c>
      <c r="D119" s="50"/>
      <c r="E119" s="34" t="n">
        <v>0</v>
      </c>
      <c r="F119" s="34" t="n">
        <v>0</v>
      </c>
      <c r="G119" s="34" t="n">
        <v>0</v>
      </c>
      <c r="H119" s="34" t="n">
        <v>0</v>
      </c>
      <c r="I119" s="34" t="n">
        <v>0</v>
      </c>
      <c r="J119" s="34" t="n">
        <v>0</v>
      </c>
      <c r="K119" s="34" t="n">
        <v>0</v>
      </c>
      <c r="L119" s="34" t="n">
        <v>0</v>
      </c>
      <c r="M119" s="34" t="n">
        <v>0</v>
      </c>
      <c r="N119" s="34" t="n">
        <v>0</v>
      </c>
      <c r="O119" s="34" t="n">
        <v>0</v>
      </c>
      <c r="P119" s="34" t="n">
        <v>0</v>
      </c>
      <c r="Q119" s="34"/>
      <c r="S119" s="35" t="n">
        <f aca="false">SUM(E119:O119)</f>
        <v>0</v>
      </c>
      <c r="T119" s="27"/>
    </row>
    <row r="120" s="6" customFormat="true" ht="18" hidden="false" customHeight="true" outlineLevel="1" collapsed="false">
      <c r="B120" s="11"/>
      <c r="C120" s="63" t="s">
        <v>119</v>
      </c>
      <c r="D120" s="50"/>
      <c r="E120" s="34" t="n">
        <v>0</v>
      </c>
      <c r="F120" s="34" t="n">
        <v>0</v>
      </c>
      <c r="G120" s="34" t="n">
        <v>0</v>
      </c>
      <c r="H120" s="34" t="n">
        <v>0</v>
      </c>
      <c r="I120" s="34" t="n">
        <v>0</v>
      </c>
      <c r="J120" s="34" t="n">
        <v>0</v>
      </c>
      <c r="K120" s="34" t="n">
        <v>0</v>
      </c>
      <c r="L120" s="34" t="n">
        <v>0</v>
      </c>
      <c r="M120" s="34" t="n">
        <v>0</v>
      </c>
      <c r="N120" s="34" t="n">
        <v>0</v>
      </c>
      <c r="O120" s="34" t="n">
        <v>0</v>
      </c>
      <c r="P120" s="34" t="n">
        <v>0</v>
      </c>
      <c r="Q120" s="34"/>
      <c r="S120" s="35" t="n">
        <f aca="false">SUM(E120:O120)</f>
        <v>0</v>
      </c>
      <c r="T120" s="27"/>
    </row>
    <row r="121" s="6" customFormat="true" ht="18" hidden="false" customHeight="true" outlineLevel="1" collapsed="false">
      <c r="B121" s="11"/>
      <c r="C121" s="63" t="s">
        <v>120</v>
      </c>
      <c r="D121" s="50"/>
      <c r="E121" s="34" t="n">
        <v>0</v>
      </c>
      <c r="F121" s="34" t="n">
        <v>0</v>
      </c>
      <c r="G121" s="34" t="n">
        <v>0</v>
      </c>
      <c r="H121" s="34" t="n">
        <v>0</v>
      </c>
      <c r="I121" s="34" t="n">
        <v>0</v>
      </c>
      <c r="J121" s="34" t="n">
        <v>0</v>
      </c>
      <c r="K121" s="34" t="n">
        <v>0</v>
      </c>
      <c r="L121" s="34" t="n">
        <v>0</v>
      </c>
      <c r="M121" s="34" t="n">
        <v>0</v>
      </c>
      <c r="N121" s="34" t="n">
        <v>0</v>
      </c>
      <c r="O121" s="34" t="n">
        <v>0</v>
      </c>
      <c r="P121" s="34" t="n">
        <v>0</v>
      </c>
      <c r="Q121" s="34"/>
      <c r="S121" s="35" t="n">
        <f aca="false">SUM(E121:O121)</f>
        <v>0</v>
      </c>
      <c r="T121" s="27"/>
    </row>
    <row r="122" s="45" customFormat="true" ht="18" hidden="false" customHeight="true" outlineLevel="0" collapsed="false">
      <c r="B122" s="11" t="n">
        <v>5</v>
      </c>
      <c r="C122" s="67" t="s">
        <v>121</v>
      </c>
      <c r="D122" s="50"/>
      <c r="E122" s="35" t="n">
        <f aca="false">SUM(E123:E126)</f>
        <v>0</v>
      </c>
      <c r="F122" s="35" t="n">
        <f aca="false">SUM(F123:F126)</f>
        <v>-3100452</v>
      </c>
      <c r="G122" s="35" t="n">
        <f aca="false">SUM(G123:G126)</f>
        <v>0</v>
      </c>
      <c r="H122" s="35" t="n">
        <f aca="false">SUM(H123:H126)</f>
        <v>-298600</v>
      </c>
      <c r="I122" s="35" t="n">
        <f aca="false">SUM(I123:I126)</f>
        <v>0</v>
      </c>
      <c r="J122" s="35" t="n">
        <f aca="false">SUM(J123:J126)</f>
        <v>0</v>
      </c>
      <c r="K122" s="35" t="n">
        <f aca="false">SUM(K123:K126)</f>
        <v>0</v>
      </c>
      <c r="L122" s="35" t="n">
        <f aca="false">SUM(L123:L126)</f>
        <v>0</v>
      </c>
      <c r="M122" s="35" t="n">
        <f aca="false">SUM(M123:M126)</f>
        <v>0</v>
      </c>
      <c r="N122" s="35" t="n">
        <f aca="false">SUM(N123:N126)</f>
        <v>0</v>
      </c>
      <c r="O122" s="35" t="n">
        <f aca="false">SUM(O123:O126)</f>
        <v>0</v>
      </c>
      <c r="P122" s="35" t="n">
        <f aca="false">SUM(P123:P126)</f>
        <v>0</v>
      </c>
      <c r="Q122" s="35"/>
      <c r="S122" s="35" t="n">
        <f aca="false">SUM(E122:O122)</f>
        <v>-3399052</v>
      </c>
      <c r="T122" s="27"/>
    </row>
    <row r="123" s="6" customFormat="true" ht="18" hidden="false" customHeight="true" outlineLevel="1" collapsed="false">
      <c r="B123" s="11"/>
      <c r="C123" s="63" t="s">
        <v>122</v>
      </c>
      <c r="D123" s="50"/>
      <c r="E123" s="34" t="n">
        <v>0</v>
      </c>
      <c r="F123" s="34" t="n">
        <v>-3100452</v>
      </c>
      <c r="G123" s="34" t="n">
        <v>0</v>
      </c>
      <c r="H123" s="34" t="n">
        <v>-298600</v>
      </c>
      <c r="I123" s="34" t="n">
        <v>0</v>
      </c>
      <c r="J123" s="34" t="n">
        <v>0</v>
      </c>
      <c r="K123" s="34" t="n">
        <v>0</v>
      </c>
      <c r="L123" s="34" t="n">
        <v>0</v>
      </c>
      <c r="M123" s="34" t="n">
        <v>0</v>
      </c>
      <c r="N123" s="34" t="n">
        <v>0</v>
      </c>
      <c r="O123" s="34" t="n">
        <v>0</v>
      </c>
      <c r="P123" s="34" t="n">
        <v>0</v>
      </c>
      <c r="Q123" s="34"/>
      <c r="S123" s="35" t="n">
        <f aca="false">SUM(E123:O123)</f>
        <v>-3399052</v>
      </c>
      <c r="T123" s="27"/>
    </row>
    <row r="124" s="6" customFormat="true" ht="18" hidden="false" customHeight="true" outlineLevel="1" collapsed="false">
      <c r="B124" s="11"/>
      <c r="C124" s="63" t="s">
        <v>123</v>
      </c>
      <c r="D124" s="50"/>
      <c r="E124" s="34" t="n">
        <v>0</v>
      </c>
      <c r="F124" s="34" t="n">
        <v>0</v>
      </c>
      <c r="G124" s="34" t="n">
        <v>0</v>
      </c>
      <c r="H124" s="34" t="n">
        <v>0</v>
      </c>
      <c r="I124" s="34" t="n">
        <v>0</v>
      </c>
      <c r="J124" s="34" t="n">
        <v>0</v>
      </c>
      <c r="K124" s="34" t="n">
        <v>0</v>
      </c>
      <c r="L124" s="34" t="n">
        <v>0</v>
      </c>
      <c r="M124" s="34" t="n">
        <v>0</v>
      </c>
      <c r="N124" s="34" t="n">
        <v>0</v>
      </c>
      <c r="O124" s="34" t="n">
        <v>0</v>
      </c>
      <c r="P124" s="34" t="n">
        <v>0</v>
      </c>
      <c r="Q124" s="34"/>
      <c r="S124" s="35" t="n">
        <f aca="false">SUM(E124:O124)</f>
        <v>0</v>
      </c>
      <c r="T124" s="27"/>
    </row>
    <row r="125" s="6" customFormat="true" ht="18" hidden="false" customHeight="true" outlineLevel="1" collapsed="false">
      <c r="B125" s="11"/>
      <c r="C125" s="63" t="s">
        <v>124</v>
      </c>
      <c r="D125" s="50"/>
      <c r="E125" s="34" t="n">
        <v>0</v>
      </c>
      <c r="F125" s="34" t="n">
        <v>0</v>
      </c>
      <c r="G125" s="34" t="n">
        <v>0</v>
      </c>
      <c r="H125" s="34" t="n">
        <v>0</v>
      </c>
      <c r="I125" s="34" t="n">
        <v>0</v>
      </c>
      <c r="J125" s="34" t="n">
        <v>0</v>
      </c>
      <c r="K125" s="34" t="n">
        <v>0</v>
      </c>
      <c r="L125" s="34" t="n">
        <v>0</v>
      </c>
      <c r="M125" s="34" t="n">
        <v>0</v>
      </c>
      <c r="N125" s="34" t="n">
        <v>0</v>
      </c>
      <c r="O125" s="34" t="n">
        <v>0</v>
      </c>
      <c r="P125" s="34" t="n">
        <v>0</v>
      </c>
      <c r="Q125" s="34"/>
      <c r="S125" s="35" t="n">
        <f aca="false">SUM(E125:O125)</f>
        <v>0</v>
      </c>
      <c r="T125" s="27"/>
    </row>
    <row r="126" s="6" customFormat="true" ht="18" hidden="false" customHeight="true" outlineLevel="1" collapsed="false">
      <c r="B126" s="11"/>
      <c r="C126" s="63" t="s">
        <v>125</v>
      </c>
      <c r="D126" s="50"/>
      <c r="E126" s="34" t="n">
        <v>0</v>
      </c>
      <c r="F126" s="34" t="n">
        <v>0</v>
      </c>
      <c r="G126" s="34" t="n">
        <v>0</v>
      </c>
      <c r="H126" s="34" t="n">
        <v>0</v>
      </c>
      <c r="I126" s="34" t="n">
        <v>0</v>
      </c>
      <c r="J126" s="34" t="n">
        <v>0</v>
      </c>
      <c r="K126" s="34" t="n">
        <v>0</v>
      </c>
      <c r="L126" s="34" t="n">
        <v>0</v>
      </c>
      <c r="M126" s="34" t="n">
        <v>0</v>
      </c>
      <c r="N126" s="34" t="n">
        <v>0</v>
      </c>
      <c r="O126" s="34" t="n">
        <v>0</v>
      </c>
      <c r="P126" s="34" t="n">
        <v>0</v>
      </c>
      <c r="Q126" s="34"/>
      <c r="S126" s="35" t="n">
        <f aca="false">SUM(E126:O126)</f>
        <v>0</v>
      </c>
      <c r="T126" s="27"/>
    </row>
    <row r="127" s="45" customFormat="true" ht="18" hidden="false" customHeight="true" outlineLevel="0" collapsed="false">
      <c r="B127" s="11" t="n">
        <v>6</v>
      </c>
      <c r="C127" s="67" t="s">
        <v>126</v>
      </c>
      <c r="D127" s="50"/>
      <c r="E127" s="35" t="n">
        <f aca="false">SUM(E128:E131)</f>
        <v>0</v>
      </c>
      <c r="F127" s="35" t="n">
        <f aca="false">SUM(F128:F131)</f>
        <v>0</v>
      </c>
      <c r="G127" s="35" t="n">
        <f aca="false">SUM(G128:G131)</f>
        <v>0</v>
      </c>
      <c r="H127" s="35" t="n">
        <f aca="false">SUM(H128:H131)</f>
        <v>0</v>
      </c>
      <c r="I127" s="35" t="n">
        <f aca="false">SUM(I128:I131)</f>
        <v>0</v>
      </c>
      <c r="J127" s="35" t="n">
        <f aca="false">SUM(J128:J131)</f>
        <v>0</v>
      </c>
      <c r="K127" s="35" t="n">
        <f aca="false">SUM(K128:K131)</f>
        <v>0</v>
      </c>
      <c r="L127" s="35" t="n">
        <f aca="false">SUM(L128:L131)</f>
        <v>0</v>
      </c>
      <c r="M127" s="35" t="n">
        <f aca="false">SUM(M128:M131)</f>
        <v>0</v>
      </c>
      <c r="N127" s="35" t="n">
        <f aca="false">SUM(N128:N131)</f>
        <v>0</v>
      </c>
      <c r="O127" s="35" t="n">
        <f aca="false">SUM(O128:O131)</f>
        <v>0</v>
      </c>
      <c r="P127" s="35" t="n">
        <f aca="false">SUM(P128:P131)</f>
        <v>0</v>
      </c>
      <c r="Q127" s="35"/>
      <c r="S127" s="35" t="n">
        <f aca="false">SUM(E127:O127)</f>
        <v>0</v>
      </c>
      <c r="T127" s="27"/>
    </row>
    <row r="128" s="6" customFormat="true" ht="18" hidden="false" customHeight="true" outlineLevel="1" collapsed="false">
      <c r="B128" s="11"/>
      <c r="C128" s="63" t="s">
        <v>127</v>
      </c>
      <c r="D128" s="50"/>
      <c r="E128" s="34" t="n">
        <v>0</v>
      </c>
      <c r="F128" s="34" t="n">
        <v>0</v>
      </c>
      <c r="G128" s="34" t="n">
        <v>0</v>
      </c>
      <c r="H128" s="34" t="n">
        <v>0</v>
      </c>
      <c r="I128" s="34" t="n">
        <v>0</v>
      </c>
      <c r="J128" s="34" t="n">
        <v>0</v>
      </c>
      <c r="K128" s="34" t="n">
        <v>0</v>
      </c>
      <c r="L128" s="34" t="n">
        <v>0</v>
      </c>
      <c r="M128" s="34" t="n">
        <v>0</v>
      </c>
      <c r="N128" s="34" t="n">
        <v>0</v>
      </c>
      <c r="O128" s="34" t="n">
        <v>0</v>
      </c>
      <c r="P128" s="34" t="n">
        <v>0</v>
      </c>
      <c r="Q128" s="34"/>
      <c r="S128" s="34" t="n">
        <f aca="false">SUM(E128:O128)</f>
        <v>0</v>
      </c>
      <c r="T128" s="27"/>
    </row>
    <row r="129" s="6" customFormat="true" ht="18" hidden="false" customHeight="true" outlineLevel="1" collapsed="false">
      <c r="B129" s="11"/>
      <c r="C129" s="63" t="s">
        <v>128</v>
      </c>
      <c r="D129" s="50"/>
      <c r="E129" s="34" t="n">
        <v>0</v>
      </c>
      <c r="F129" s="34" t="n">
        <v>0</v>
      </c>
      <c r="G129" s="34" t="n">
        <v>0</v>
      </c>
      <c r="H129" s="34" t="n">
        <v>0</v>
      </c>
      <c r="I129" s="34" t="n">
        <v>0</v>
      </c>
      <c r="J129" s="34" t="n">
        <v>0</v>
      </c>
      <c r="K129" s="34" t="n">
        <v>0</v>
      </c>
      <c r="L129" s="34" t="n">
        <v>0</v>
      </c>
      <c r="M129" s="34" t="n">
        <v>0</v>
      </c>
      <c r="N129" s="34" t="n">
        <v>0</v>
      </c>
      <c r="O129" s="34" t="n">
        <v>0</v>
      </c>
      <c r="P129" s="34" t="n">
        <v>0</v>
      </c>
      <c r="Q129" s="34"/>
      <c r="S129" s="34" t="n">
        <f aca="false">SUM(E129:O129)</f>
        <v>0</v>
      </c>
      <c r="T129" s="27"/>
    </row>
    <row r="130" s="6" customFormat="true" ht="18" hidden="false" customHeight="true" outlineLevel="1" collapsed="false">
      <c r="B130" s="11"/>
      <c r="C130" s="63" t="s">
        <v>129</v>
      </c>
      <c r="D130" s="50"/>
      <c r="E130" s="34" t="n">
        <v>0</v>
      </c>
      <c r="F130" s="34" t="n">
        <v>0</v>
      </c>
      <c r="G130" s="34" t="n">
        <v>0</v>
      </c>
      <c r="H130" s="34" t="n">
        <v>0</v>
      </c>
      <c r="I130" s="34" t="n">
        <v>0</v>
      </c>
      <c r="J130" s="34" t="n">
        <v>0</v>
      </c>
      <c r="K130" s="34" t="n">
        <v>0</v>
      </c>
      <c r="L130" s="34" t="n">
        <v>0</v>
      </c>
      <c r="M130" s="34" t="n">
        <v>0</v>
      </c>
      <c r="N130" s="34" t="n">
        <v>0</v>
      </c>
      <c r="O130" s="34" t="n">
        <v>0</v>
      </c>
      <c r="P130" s="34" t="n">
        <v>0</v>
      </c>
      <c r="Q130" s="34"/>
      <c r="S130" s="34" t="n">
        <f aca="false">SUM(E130:O130)</f>
        <v>0</v>
      </c>
      <c r="T130" s="27"/>
    </row>
    <row r="131" s="6" customFormat="true" ht="18" hidden="false" customHeight="true" outlineLevel="1" collapsed="false">
      <c r="B131" s="11"/>
      <c r="C131" s="63" t="s">
        <v>130</v>
      </c>
      <c r="D131" s="50"/>
      <c r="E131" s="34" t="n">
        <v>0</v>
      </c>
      <c r="F131" s="34" t="n">
        <v>0</v>
      </c>
      <c r="G131" s="34" t="n">
        <v>0</v>
      </c>
      <c r="H131" s="34" t="n">
        <v>0</v>
      </c>
      <c r="I131" s="34" t="n">
        <v>0</v>
      </c>
      <c r="J131" s="34" t="n">
        <v>0</v>
      </c>
      <c r="K131" s="34" t="n">
        <v>0</v>
      </c>
      <c r="L131" s="34" t="n">
        <v>0</v>
      </c>
      <c r="M131" s="34" t="n">
        <v>0</v>
      </c>
      <c r="N131" s="34" t="n">
        <v>0</v>
      </c>
      <c r="O131" s="34" t="n">
        <v>0</v>
      </c>
      <c r="P131" s="34" t="n">
        <v>0</v>
      </c>
      <c r="Q131" s="34"/>
      <c r="S131" s="34" t="n">
        <f aca="false">SUM(E131:O131)</f>
        <v>0</v>
      </c>
      <c r="T131" s="27"/>
    </row>
    <row r="132" s="45" customFormat="true" ht="18" hidden="false" customHeight="true" outlineLevel="0" collapsed="false">
      <c r="B132" s="11" t="n">
        <v>7</v>
      </c>
      <c r="C132" s="67" t="s">
        <v>131</v>
      </c>
      <c r="D132" s="50"/>
      <c r="E132" s="35" t="n">
        <f aca="false">SUM(E133:E136)</f>
        <v>0</v>
      </c>
      <c r="F132" s="35" t="n">
        <f aca="false">SUM(F133:F136)</f>
        <v>0</v>
      </c>
      <c r="G132" s="35" t="n">
        <f aca="false">SUM(G133:G136)</f>
        <v>0</v>
      </c>
      <c r="H132" s="35" t="n">
        <f aca="false">SUM(H133:H136)</f>
        <v>0</v>
      </c>
      <c r="I132" s="35" t="n">
        <f aca="false">SUM(I133:I136)</f>
        <v>0</v>
      </c>
      <c r="J132" s="35" t="n">
        <f aca="false">SUM(J133:J136)</f>
        <v>0</v>
      </c>
      <c r="K132" s="35" t="n">
        <f aca="false">SUM(K133:K136)</f>
        <v>0</v>
      </c>
      <c r="L132" s="35" t="n">
        <f aca="false">SUM(L133:L136)</f>
        <v>0</v>
      </c>
      <c r="M132" s="35" t="n">
        <f aca="false">SUM(M133:M136)</f>
        <v>0</v>
      </c>
      <c r="N132" s="35" t="n">
        <f aca="false">SUM(N133:N136)</f>
        <v>0</v>
      </c>
      <c r="O132" s="35" t="n">
        <f aca="false">SUM(O133:O136)</f>
        <v>0</v>
      </c>
      <c r="P132" s="35" t="n">
        <f aca="false">SUM(P133:P136)</f>
        <v>0</v>
      </c>
      <c r="Q132" s="35"/>
      <c r="S132" s="35" t="n">
        <f aca="false">SUM(E132:O132)</f>
        <v>0</v>
      </c>
      <c r="T132" s="27"/>
    </row>
    <row r="133" s="6" customFormat="true" ht="18" hidden="false" customHeight="true" outlineLevel="1" collapsed="false">
      <c r="B133" s="11"/>
      <c r="C133" s="63" t="s">
        <v>132</v>
      </c>
      <c r="D133" s="50"/>
      <c r="E133" s="34" t="n">
        <v>0</v>
      </c>
      <c r="F133" s="34" t="n">
        <v>0</v>
      </c>
      <c r="G133" s="34" t="n">
        <v>0</v>
      </c>
      <c r="H133" s="34" t="n">
        <v>0</v>
      </c>
      <c r="I133" s="34" t="n">
        <v>0</v>
      </c>
      <c r="J133" s="34" t="n">
        <v>0</v>
      </c>
      <c r="K133" s="34" t="n">
        <v>0</v>
      </c>
      <c r="L133" s="34" t="n">
        <v>0</v>
      </c>
      <c r="M133" s="34" t="n">
        <v>0</v>
      </c>
      <c r="N133" s="34" t="n">
        <v>0</v>
      </c>
      <c r="O133" s="34" t="n">
        <v>0</v>
      </c>
      <c r="P133" s="34" t="n">
        <v>0</v>
      </c>
      <c r="Q133" s="34"/>
      <c r="S133" s="35" t="n">
        <f aca="false">SUM(E133:O133)</f>
        <v>0</v>
      </c>
      <c r="T133" s="27"/>
    </row>
    <row r="134" s="6" customFormat="true" ht="18" hidden="false" customHeight="true" outlineLevel="1" collapsed="false">
      <c r="B134" s="11"/>
      <c r="C134" s="63" t="s">
        <v>133</v>
      </c>
      <c r="D134" s="50"/>
      <c r="E134" s="34" t="n">
        <v>0</v>
      </c>
      <c r="F134" s="34" t="n">
        <v>0</v>
      </c>
      <c r="G134" s="34" t="n">
        <v>0</v>
      </c>
      <c r="H134" s="34" t="n">
        <v>0</v>
      </c>
      <c r="I134" s="34" t="n">
        <v>0</v>
      </c>
      <c r="J134" s="34" t="n">
        <v>0</v>
      </c>
      <c r="K134" s="34" t="n">
        <v>0</v>
      </c>
      <c r="L134" s="34" t="n">
        <v>0</v>
      </c>
      <c r="M134" s="34" t="n">
        <v>0</v>
      </c>
      <c r="N134" s="34" t="n">
        <v>0</v>
      </c>
      <c r="O134" s="34" t="n">
        <v>0</v>
      </c>
      <c r="P134" s="34" t="n">
        <v>0</v>
      </c>
      <c r="Q134" s="34"/>
      <c r="S134" s="35" t="n">
        <f aca="false">SUM(E134:O134)</f>
        <v>0</v>
      </c>
      <c r="T134" s="27"/>
    </row>
    <row r="135" s="6" customFormat="true" ht="18" hidden="false" customHeight="true" outlineLevel="1" collapsed="false">
      <c r="B135" s="11"/>
      <c r="C135" s="63" t="s">
        <v>134</v>
      </c>
      <c r="D135" s="50"/>
      <c r="E135" s="34" t="n">
        <v>0</v>
      </c>
      <c r="F135" s="34" t="n">
        <v>0</v>
      </c>
      <c r="G135" s="34" t="n">
        <v>0</v>
      </c>
      <c r="H135" s="34" t="n">
        <v>0</v>
      </c>
      <c r="I135" s="34" t="n">
        <v>0</v>
      </c>
      <c r="J135" s="34" t="n">
        <v>0</v>
      </c>
      <c r="K135" s="34" t="n">
        <v>0</v>
      </c>
      <c r="L135" s="34" t="n">
        <v>0</v>
      </c>
      <c r="M135" s="34" t="n">
        <v>0</v>
      </c>
      <c r="N135" s="34" t="n">
        <v>0</v>
      </c>
      <c r="O135" s="34" t="n">
        <v>0</v>
      </c>
      <c r="P135" s="34" t="n">
        <v>0</v>
      </c>
      <c r="Q135" s="34"/>
      <c r="S135" s="35" t="n">
        <f aca="false">SUM(E135:O135)</f>
        <v>0</v>
      </c>
      <c r="T135" s="27"/>
      <c r="AO135" s="6" t="e">
        <f aca="false">AO135:AQ135</f>
        <v>#VALUE!</v>
      </c>
    </row>
    <row r="136" s="6" customFormat="true" ht="18" hidden="false" customHeight="true" outlineLevel="1" collapsed="false">
      <c r="B136" s="11"/>
      <c r="C136" s="63" t="s">
        <v>135</v>
      </c>
      <c r="D136" s="50"/>
      <c r="E136" s="34" t="n">
        <v>0</v>
      </c>
      <c r="F136" s="34" t="n">
        <v>0</v>
      </c>
      <c r="G136" s="34" t="n">
        <v>0</v>
      </c>
      <c r="H136" s="34" t="n">
        <v>0</v>
      </c>
      <c r="I136" s="34" t="n">
        <v>0</v>
      </c>
      <c r="J136" s="34" t="n">
        <v>0</v>
      </c>
      <c r="K136" s="34" t="n">
        <v>0</v>
      </c>
      <c r="L136" s="34" t="n">
        <v>0</v>
      </c>
      <c r="M136" s="34" t="n">
        <v>0</v>
      </c>
      <c r="N136" s="34" t="n">
        <v>0</v>
      </c>
      <c r="O136" s="34" t="n">
        <v>0</v>
      </c>
      <c r="P136" s="34" t="n">
        <v>0</v>
      </c>
      <c r="Q136" s="34"/>
      <c r="S136" s="35" t="n">
        <f aca="false">SUM(E136:O136)</f>
        <v>0</v>
      </c>
      <c r="T136" s="27"/>
    </row>
    <row r="137" s="6" customFormat="true" ht="18" hidden="false" customHeight="true" outlineLevel="1" collapsed="false">
      <c r="B137" s="11" t="n">
        <v>8</v>
      </c>
      <c r="C137" s="64" t="s">
        <v>136</v>
      </c>
      <c r="D137" s="50"/>
      <c r="E137" s="35" t="n">
        <f aca="false">SUM(E138:E143)</f>
        <v>-5493576</v>
      </c>
      <c r="F137" s="35" t="n">
        <f aca="false">SUM(F138:F143)</f>
        <v>-7443175</v>
      </c>
      <c r="G137" s="35" t="n">
        <f aca="false">SUM(G138:G143)</f>
        <v>-7015261.28</v>
      </c>
      <c r="H137" s="35" t="n">
        <f aca="false">SUM(H138:H143)</f>
        <v>-7326955.73</v>
      </c>
      <c r="I137" s="35" t="n">
        <f aca="false">SUM(I138:I143)</f>
        <v>-7326955.73</v>
      </c>
      <c r="J137" s="35" t="n">
        <f aca="false">SUM(J138:J143)</f>
        <v>-7326955.73</v>
      </c>
      <c r="K137" s="35" t="n">
        <f aca="false">SUM(K138:K143)</f>
        <v>-5109706</v>
      </c>
      <c r="L137" s="35" t="n">
        <f aca="false">SUM(L138:L143)</f>
        <v>-1600000</v>
      </c>
      <c r="M137" s="35" t="n">
        <f aca="false">SUM(M138:M143)</f>
        <v>-1600000</v>
      </c>
      <c r="N137" s="35" t="n">
        <f aca="false">SUM(N138:N143)</f>
        <v>-1600000</v>
      </c>
      <c r="O137" s="35" t="n">
        <f aca="false">SUM(O138:O143)</f>
        <v>-1600000</v>
      </c>
      <c r="P137" s="35" t="n">
        <f aca="false">SUM(P138:P143)</f>
        <v>-1600000</v>
      </c>
      <c r="Q137" s="35"/>
      <c r="S137" s="35" t="n">
        <f aca="false">SUM(E137:O137)</f>
        <v>-53442585.47</v>
      </c>
      <c r="T137" s="27"/>
    </row>
    <row r="138" s="6" customFormat="true" ht="18" hidden="false" customHeight="true" outlineLevel="1" collapsed="false">
      <c r="B138" s="11"/>
      <c r="C138" s="63" t="s">
        <v>137</v>
      </c>
      <c r="D138" s="50"/>
      <c r="E138" s="34" t="n">
        <v>-4493576</v>
      </c>
      <c r="F138" s="34" t="n">
        <v>-6443175</v>
      </c>
      <c r="G138" s="34" t="n">
        <v>-6015261.28</v>
      </c>
      <c r="H138" s="34" t="n">
        <v>-6326955.73</v>
      </c>
      <c r="I138" s="34" t="n">
        <v>-6326955.73</v>
      </c>
      <c r="J138" s="34" t="n">
        <v>-6326955.73</v>
      </c>
      <c r="K138" s="34" t="n">
        <v>-4109706</v>
      </c>
      <c r="L138" s="34" t="n">
        <v>-600000</v>
      </c>
      <c r="M138" s="34" t="n">
        <v>-600000</v>
      </c>
      <c r="N138" s="34" t="n">
        <v>-600000</v>
      </c>
      <c r="O138" s="34" t="n">
        <v>-600000</v>
      </c>
      <c r="P138" s="34" t="n">
        <v>-600000</v>
      </c>
      <c r="Q138" s="34"/>
      <c r="S138" s="35" t="n">
        <f aca="false">SUM(E138:O138)</f>
        <v>-42442585.47</v>
      </c>
      <c r="T138" s="27"/>
    </row>
    <row r="139" s="6" customFormat="true" ht="18" hidden="false" customHeight="true" outlineLevel="1" collapsed="false">
      <c r="B139" s="11"/>
      <c r="C139" s="63" t="s">
        <v>138</v>
      </c>
      <c r="D139" s="50"/>
      <c r="E139" s="34" t="n">
        <v>0</v>
      </c>
      <c r="F139" s="34" t="n">
        <v>0</v>
      </c>
      <c r="G139" s="34" t="n">
        <v>0</v>
      </c>
      <c r="H139" s="34" t="n">
        <v>0</v>
      </c>
      <c r="I139" s="34" t="n">
        <v>0</v>
      </c>
      <c r="J139" s="34" t="n">
        <v>0</v>
      </c>
      <c r="K139" s="34" t="n">
        <v>0</v>
      </c>
      <c r="L139" s="34" t="n">
        <v>0</v>
      </c>
      <c r="M139" s="34" t="n">
        <v>0</v>
      </c>
      <c r="N139" s="34" t="n">
        <v>0</v>
      </c>
      <c r="O139" s="34" t="n">
        <v>0</v>
      </c>
      <c r="P139" s="34" t="n">
        <v>0</v>
      </c>
      <c r="Q139" s="34"/>
      <c r="S139" s="35" t="n">
        <f aca="false">SUM(E139:O139)</f>
        <v>0</v>
      </c>
      <c r="T139" s="27"/>
    </row>
    <row r="140" s="6" customFormat="true" ht="18" hidden="false" customHeight="true" outlineLevel="1" collapsed="false">
      <c r="B140" s="11"/>
      <c r="C140" s="63" t="s">
        <v>139</v>
      </c>
      <c r="D140" s="50"/>
      <c r="E140" s="34" t="n">
        <v>0</v>
      </c>
      <c r="F140" s="34" t="n">
        <v>0</v>
      </c>
      <c r="G140" s="34" t="n">
        <v>0</v>
      </c>
      <c r="H140" s="34" t="n">
        <v>0</v>
      </c>
      <c r="I140" s="34" t="n">
        <v>0</v>
      </c>
      <c r="J140" s="34" t="n">
        <v>0</v>
      </c>
      <c r="K140" s="34" t="n">
        <v>0</v>
      </c>
      <c r="L140" s="34" t="n">
        <v>0</v>
      </c>
      <c r="M140" s="34" t="n">
        <v>0</v>
      </c>
      <c r="N140" s="34" t="n">
        <v>0</v>
      </c>
      <c r="O140" s="34" t="n">
        <v>0</v>
      </c>
      <c r="P140" s="34" t="n">
        <v>0</v>
      </c>
      <c r="Q140" s="34"/>
      <c r="S140" s="35" t="n">
        <f aca="false">SUM(E140:O140)</f>
        <v>0</v>
      </c>
      <c r="T140" s="27"/>
    </row>
    <row r="141" s="6" customFormat="true" ht="18" hidden="false" customHeight="true" outlineLevel="1" collapsed="false">
      <c r="B141" s="11"/>
      <c r="C141" s="63" t="s">
        <v>140</v>
      </c>
      <c r="D141" s="50"/>
      <c r="E141" s="34" t="n">
        <v>0</v>
      </c>
      <c r="F141" s="34" t="n">
        <v>0</v>
      </c>
      <c r="G141" s="34" t="n">
        <v>0</v>
      </c>
      <c r="H141" s="34" t="n">
        <v>0</v>
      </c>
      <c r="I141" s="34" t="n">
        <v>0</v>
      </c>
      <c r="J141" s="34" t="n">
        <v>0</v>
      </c>
      <c r="K141" s="34" t="n">
        <v>0</v>
      </c>
      <c r="L141" s="34" t="n">
        <v>0</v>
      </c>
      <c r="M141" s="34" t="n">
        <v>0</v>
      </c>
      <c r="N141" s="34" t="n">
        <v>0</v>
      </c>
      <c r="O141" s="34" t="n">
        <v>0</v>
      </c>
      <c r="P141" s="34" t="n">
        <v>0</v>
      </c>
      <c r="Q141" s="34"/>
      <c r="S141" s="35" t="n">
        <f aca="false">SUM(E141:O141)</f>
        <v>0</v>
      </c>
      <c r="T141" s="27"/>
    </row>
    <row r="142" s="6" customFormat="true" ht="18" hidden="false" customHeight="true" outlineLevel="1" collapsed="false">
      <c r="B142" s="11"/>
      <c r="C142" s="63" t="s">
        <v>141</v>
      </c>
      <c r="D142" s="50"/>
      <c r="E142" s="34" t="n">
        <v>0</v>
      </c>
      <c r="F142" s="34" t="n">
        <v>0</v>
      </c>
      <c r="G142" s="34" t="n">
        <v>0</v>
      </c>
      <c r="H142" s="34" t="n">
        <v>0</v>
      </c>
      <c r="I142" s="34" t="n">
        <v>0</v>
      </c>
      <c r="J142" s="34" t="n">
        <v>0</v>
      </c>
      <c r="K142" s="34" t="n">
        <v>0</v>
      </c>
      <c r="L142" s="34" t="n">
        <v>0</v>
      </c>
      <c r="M142" s="34" t="n">
        <v>0</v>
      </c>
      <c r="N142" s="34" t="n">
        <v>0</v>
      </c>
      <c r="O142" s="34" t="n">
        <v>0</v>
      </c>
      <c r="P142" s="34" t="n">
        <v>0</v>
      </c>
      <c r="Q142" s="34"/>
      <c r="S142" s="35" t="n">
        <f aca="false">SUM(E142:O142)</f>
        <v>0</v>
      </c>
      <c r="T142" s="27"/>
    </row>
    <row r="143" s="6" customFormat="true" ht="18" hidden="false" customHeight="true" outlineLevel="1" collapsed="false">
      <c r="B143" s="11"/>
      <c r="C143" s="63" t="s">
        <v>142</v>
      </c>
      <c r="D143" s="50"/>
      <c r="E143" s="34" t="n">
        <v>-1000000</v>
      </c>
      <c r="F143" s="34" t="n">
        <v>-1000000</v>
      </c>
      <c r="G143" s="34" t="n">
        <v>-1000000</v>
      </c>
      <c r="H143" s="34" t="n">
        <v>-1000000</v>
      </c>
      <c r="I143" s="34" t="n">
        <v>-1000000</v>
      </c>
      <c r="J143" s="34" t="n">
        <v>-1000000</v>
      </c>
      <c r="K143" s="34" t="n">
        <v>-1000000</v>
      </c>
      <c r="L143" s="34" t="n">
        <v>-1000000</v>
      </c>
      <c r="M143" s="34" t="n">
        <v>-1000000</v>
      </c>
      <c r="N143" s="34" t="n">
        <v>-1000000</v>
      </c>
      <c r="O143" s="34" t="n">
        <v>-1000000</v>
      </c>
      <c r="P143" s="34" t="n">
        <v>-1000000</v>
      </c>
      <c r="Q143" s="34"/>
      <c r="S143" s="35" t="n">
        <f aca="false">SUM(E143:O143)</f>
        <v>-11000000</v>
      </c>
      <c r="T143" s="27"/>
    </row>
    <row r="144" s="6" customFormat="true" ht="18" hidden="false" customHeight="true" outlineLevel="1" collapsed="false">
      <c r="B144" s="11"/>
      <c r="C144" s="63"/>
      <c r="D144" s="50"/>
      <c r="E144" s="34" t="n">
        <v>0</v>
      </c>
      <c r="F144" s="34" t="n">
        <v>0</v>
      </c>
      <c r="G144" s="34" t="n">
        <v>0</v>
      </c>
      <c r="H144" s="34" t="n">
        <v>0</v>
      </c>
      <c r="I144" s="34" t="n">
        <v>0</v>
      </c>
      <c r="J144" s="34" t="n">
        <v>0</v>
      </c>
      <c r="K144" s="34" t="n">
        <v>0</v>
      </c>
      <c r="L144" s="34" t="n">
        <v>0</v>
      </c>
      <c r="M144" s="34" t="n">
        <v>0</v>
      </c>
      <c r="N144" s="34" t="n">
        <v>0</v>
      </c>
      <c r="O144" s="34" t="n">
        <v>0</v>
      </c>
      <c r="P144" s="34" t="n">
        <v>0</v>
      </c>
      <c r="Q144" s="34"/>
      <c r="S144" s="35" t="n">
        <f aca="false">SUM(E144:O144)</f>
        <v>0</v>
      </c>
      <c r="T144" s="27"/>
    </row>
    <row r="145" s="45" customFormat="true" ht="20.25" hidden="false" customHeight="true" outlineLevel="0" collapsed="false">
      <c r="B145" s="11" t="n">
        <v>9</v>
      </c>
      <c r="C145" s="67" t="s">
        <v>143</v>
      </c>
      <c r="D145" s="50"/>
      <c r="E145" s="35" t="n">
        <f aca="false">SUM(E146:E151)</f>
        <v>0</v>
      </c>
      <c r="F145" s="35" t="n">
        <f aca="false">SUM(F146:F151)</f>
        <v>0</v>
      </c>
      <c r="G145" s="35" t="n">
        <f aca="false">SUM(G146:G151)</f>
        <v>0</v>
      </c>
      <c r="H145" s="35" t="n">
        <f aca="false">SUM(H146:H151)</f>
        <v>0</v>
      </c>
      <c r="I145" s="35" t="n">
        <f aca="false">SUM(I146:I151)</f>
        <v>0</v>
      </c>
      <c r="J145" s="35" t="n">
        <f aca="false">SUM(J146:J151)</f>
        <v>0</v>
      </c>
      <c r="K145" s="35" t="n">
        <f aca="false">SUM(K146:K151)</f>
        <v>0</v>
      </c>
      <c r="L145" s="35" t="n">
        <f aca="false">SUM(L146:L151)</f>
        <v>0</v>
      </c>
      <c r="M145" s="35" t="n">
        <f aca="false">SUM(M146:M151)</f>
        <v>0</v>
      </c>
      <c r="N145" s="35" t="n">
        <f aca="false">SUM(N146:N151)</f>
        <v>0</v>
      </c>
      <c r="O145" s="35" t="n">
        <f aca="false">SUM(O146:O151)</f>
        <v>0</v>
      </c>
      <c r="P145" s="35" t="n">
        <f aca="false">SUM(P146:P151)</f>
        <v>0</v>
      </c>
      <c r="Q145" s="35"/>
      <c r="S145" s="35" t="n">
        <f aca="false">SUM(E145:O145)</f>
        <v>0</v>
      </c>
      <c r="T145" s="27"/>
    </row>
    <row r="146" s="6" customFormat="true" ht="18" hidden="false" customHeight="true" outlineLevel="1" collapsed="false">
      <c r="B146" s="11"/>
      <c r="C146" s="63" t="s">
        <v>144</v>
      </c>
      <c r="D146" s="50"/>
      <c r="E146" s="34" t="n">
        <v>0</v>
      </c>
      <c r="F146" s="34" t="n">
        <v>0</v>
      </c>
      <c r="G146" s="34" t="n">
        <v>0</v>
      </c>
      <c r="H146" s="34" t="n">
        <v>0</v>
      </c>
      <c r="I146" s="34" t="n">
        <v>0</v>
      </c>
      <c r="J146" s="34" t="n">
        <v>0</v>
      </c>
      <c r="K146" s="34" t="n">
        <v>0</v>
      </c>
      <c r="L146" s="34" t="n">
        <v>0</v>
      </c>
      <c r="M146" s="34" t="n">
        <v>0</v>
      </c>
      <c r="N146" s="34" t="n">
        <v>0</v>
      </c>
      <c r="O146" s="34" t="n">
        <v>0</v>
      </c>
      <c r="P146" s="34" t="n">
        <v>0</v>
      </c>
      <c r="Q146" s="34"/>
      <c r="S146" s="35" t="n">
        <f aca="false">SUM(E146:O146)</f>
        <v>0</v>
      </c>
      <c r="T146" s="27"/>
    </row>
    <row r="147" s="6" customFormat="true" ht="18" hidden="false" customHeight="true" outlineLevel="1" collapsed="false">
      <c r="B147" s="11"/>
      <c r="C147" s="63" t="s">
        <v>145</v>
      </c>
      <c r="D147" s="50"/>
      <c r="E147" s="34" t="n">
        <v>0</v>
      </c>
      <c r="F147" s="34" t="n">
        <v>0</v>
      </c>
      <c r="G147" s="34" t="n">
        <v>0</v>
      </c>
      <c r="H147" s="34" t="n">
        <v>0</v>
      </c>
      <c r="I147" s="34" t="n">
        <v>0</v>
      </c>
      <c r="J147" s="34" t="n">
        <v>0</v>
      </c>
      <c r="K147" s="34" t="n">
        <v>0</v>
      </c>
      <c r="L147" s="34" t="n">
        <v>0</v>
      </c>
      <c r="M147" s="34" t="n">
        <v>0</v>
      </c>
      <c r="N147" s="34" t="n">
        <v>0</v>
      </c>
      <c r="O147" s="34" t="n">
        <v>0</v>
      </c>
      <c r="P147" s="34" t="n">
        <v>0</v>
      </c>
      <c r="Q147" s="34"/>
      <c r="S147" s="35" t="n">
        <f aca="false">SUM(E147:O147)</f>
        <v>0</v>
      </c>
      <c r="T147" s="27"/>
    </row>
    <row r="148" s="6" customFormat="true" ht="18" hidden="false" customHeight="true" outlineLevel="1" collapsed="false">
      <c r="B148" s="11"/>
      <c r="C148" s="63" t="s">
        <v>146</v>
      </c>
      <c r="D148" s="50"/>
      <c r="E148" s="34" t="n">
        <v>0</v>
      </c>
      <c r="F148" s="34" t="n">
        <v>0</v>
      </c>
      <c r="G148" s="34" t="n">
        <v>0</v>
      </c>
      <c r="H148" s="34" t="n">
        <v>0</v>
      </c>
      <c r="I148" s="34" t="n">
        <v>0</v>
      </c>
      <c r="J148" s="34" t="n">
        <v>0</v>
      </c>
      <c r="K148" s="34" t="n">
        <v>0</v>
      </c>
      <c r="L148" s="34" t="n">
        <v>0</v>
      </c>
      <c r="M148" s="34" t="n">
        <v>0</v>
      </c>
      <c r="N148" s="34" t="n">
        <v>0</v>
      </c>
      <c r="O148" s="34" t="n">
        <v>0</v>
      </c>
      <c r="P148" s="34" t="n">
        <v>0</v>
      </c>
      <c r="Q148" s="34"/>
      <c r="S148" s="35" t="n">
        <f aca="false">SUM(E148:O148)</f>
        <v>0</v>
      </c>
      <c r="T148" s="27"/>
    </row>
    <row r="149" s="6" customFormat="true" ht="18" hidden="false" customHeight="true" outlineLevel="1" collapsed="false">
      <c r="B149" s="11"/>
      <c r="C149" s="68" t="s">
        <v>147</v>
      </c>
      <c r="D149" s="50"/>
      <c r="E149" s="34" t="n">
        <v>0</v>
      </c>
      <c r="F149" s="34" t="n">
        <v>0</v>
      </c>
      <c r="G149" s="34" t="n">
        <v>0</v>
      </c>
      <c r="H149" s="34" t="n">
        <v>0</v>
      </c>
      <c r="I149" s="34" t="n">
        <v>0</v>
      </c>
      <c r="J149" s="34" t="n">
        <v>0</v>
      </c>
      <c r="K149" s="34" t="n">
        <v>0</v>
      </c>
      <c r="L149" s="34" t="n">
        <v>0</v>
      </c>
      <c r="M149" s="34" t="n">
        <v>0</v>
      </c>
      <c r="N149" s="34" t="n">
        <v>0</v>
      </c>
      <c r="O149" s="34" t="n">
        <v>0</v>
      </c>
      <c r="P149" s="34" t="n">
        <v>0</v>
      </c>
      <c r="Q149" s="34"/>
      <c r="S149" s="35" t="n">
        <f aca="false">SUM(E149:O149)</f>
        <v>0</v>
      </c>
      <c r="T149" s="27"/>
    </row>
    <row r="150" s="6" customFormat="true" ht="18" hidden="false" customHeight="true" outlineLevel="1" collapsed="false">
      <c r="B150" s="11"/>
      <c r="C150" s="68" t="s">
        <v>148</v>
      </c>
      <c r="D150" s="50"/>
      <c r="E150" s="34" t="n">
        <v>0</v>
      </c>
      <c r="F150" s="34" t="n">
        <v>0</v>
      </c>
      <c r="G150" s="34" t="n">
        <v>0</v>
      </c>
      <c r="H150" s="34" t="n">
        <v>0</v>
      </c>
      <c r="I150" s="34" t="n">
        <v>0</v>
      </c>
      <c r="J150" s="34" t="n">
        <v>0</v>
      </c>
      <c r="K150" s="34" t="n">
        <v>0</v>
      </c>
      <c r="L150" s="34" t="n">
        <v>0</v>
      </c>
      <c r="M150" s="34" t="n">
        <v>0</v>
      </c>
      <c r="N150" s="34" t="n">
        <v>0</v>
      </c>
      <c r="O150" s="34" t="n">
        <v>0</v>
      </c>
      <c r="P150" s="34" t="n">
        <v>0</v>
      </c>
      <c r="Q150" s="34"/>
      <c r="S150" s="35" t="n">
        <f aca="false">SUM(E150:O150)</f>
        <v>0</v>
      </c>
      <c r="T150" s="27"/>
    </row>
    <row r="151" s="6" customFormat="true" ht="18" hidden="false" customHeight="true" outlineLevel="1" collapsed="false">
      <c r="B151" s="11"/>
      <c r="C151" s="63" t="s">
        <v>149</v>
      </c>
      <c r="D151" s="50"/>
      <c r="E151" s="34" t="n">
        <v>0</v>
      </c>
      <c r="F151" s="34" t="n">
        <v>0</v>
      </c>
      <c r="G151" s="34" t="n">
        <v>0</v>
      </c>
      <c r="H151" s="34" t="n">
        <v>0</v>
      </c>
      <c r="I151" s="34" t="n">
        <v>0</v>
      </c>
      <c r="J151" s="34" t="n">
        <v>0</v>
      </c>
      <c r="K151" s="34" t="n">
        <v>0</v>
      </c>
      <c r="L151" s="34" t="n">
        <v>0</v>
      </c>
      <c r="M151" s="34" t="n">
        <v>0</v>
      </c>
      <c r="N151" s="34" t="n">
        <v>0</v>
      </c>
      <c r="O151" s="34" t="n">
        <v>0</v>
      </c>
      <c r="P151" s="34" t="n">
        <v>0</v>
      </c>
      <c r="Q151" s="34"/>
      <c r="S151" s="35" t="n">
        <f aca="false">SUM(E151:O151)</f>
        <v>0</v>
      </c>
      <c r="T151" s="27"/>
    </row>
    <row r="152" s="6" customFormat="true" ht="18" hidden="false" customHeight="true" outlineLevel="0" collapsed="false">
      <c r="B152" s="11"/>
      <c r="C152" s="69" t="s">
        <v>150</v>
      </c>
      <c r="D152" s="50"/>
      <c r="E152" s="70" t="n">
        <f aca="false">SUM(E84,E99,E103,E116,E122,E127,E132,E137,E145)</f>
        <v>-14025315</v>
      </c>
      <c r="F152" s="70" t="n">
        <f aca="false">SUM(F84,F99,F103,F116,F122,F127,F132,F137,F145)</f>
        <v>-19348627</v>
      </c>
      <c r="G152" s="70" t="n">
        <f aca="false">SUM(G84,G99,G103,G116,G122,G127,G132,G137,G145)</f>
        <v>-15040261.28</v>
      </c>
      <c r="H152" s="70" t="n">
        <f aca="false">SUM(H84,H99,H103,H116,H122,H127,H132,H137,H145)</f>
        <v>-15897245.73</v>
      </c>
      <c r="I152" s="70" t="n">
        <f aca="false">SUM(I84,I99,I103,I116,I122,I127,I132,I137,I145)</f>
        <v>-16901955.73</v>
      </c>
      <c r="J152" s="70" t="n">
        <f aca="false">SUM(J84,J99,J103,J116,J122,J127,J132,J137,J145)</f>
        <v>-15351955.73</v>
      </c>
      <c r="K152" s="70" t="n">
        <f aca="false">SUM(K84,K99,K103,K116,K122,K127,K132,K137,K145)</f>
        <v>-13434706</v>
      </c>
      <c r="L152" s="70" t="n">
        <f aca="false">SUM(L84,L99,L103,L116,L122,L127,L132,L137,L145)</f>
        <v>-9725000</v>
      </c>
      <c r="M152" s="70" t="n">
        <f aca="false">SUM(M84,M99,M103,M116,M122,M127,M132,M137,M145)</f>
        <v>-9725000</v>
      </c>
      <c r="N152" s="70" t="n">
        <f aca="false">SUM(N84,N99,N103,N116,N122,N127,N132,N137,N145)</f>
        <v>-9675000</v>
      </c>
      <c r="O152" s="70" t="n">
        <f aca="false">SUM(O84,O99,O103,O116,O122,O127,O132,O137,O145)</f>
        <v>-10275000</v>
      </c>
      <c r="P152" s="70" t="n">
        <f aca="false">SUM(P84,P99,P103,P116,P122,P127,P132,P137,P145)</f>
        <v>-10275000</v>
      </c>
      <c r="Q152" s="70"/>
      <c r="S152" s="70" t="n">
        <f aca="false">SUM(E152:O152)</f>
        <v>-149400066.47</v>
      </c>
      <c r="T152" s="27" t="n">
        <f aca="false">S152-S84</f>
        <v>-60018327.47</v>
      </c>
      <c r="V152" s="71"/>
    </row>
    <row r="153" s="53" customFormat="true" ht="18" hidden="false" customHeight="true" outlineLevel="0" collapsed="false">
      <c r="B153" s="54"/>
      <c r="C153" s="58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S153" s="72"/>
      <c r="T153" s="27"/>
      <c r="V153" s="73"/>
    </row>
    <row r="154" s="6" customFormat="true" ht="18" hidden="false" customHeight="true" outlineLevel="0" collapsed="false">
      <c r="B154" s="11"/>
      <c r="C154" s="74" t="s">
        <v>151</v>
      </c>
      <c r="D154" s="50"/>
      <c r="E154" s="42" t="n">
        <f aca="false">SUM(E22,E78,E152)</f>
        <v>-12050733</v>
      </c>
      <c r="F154" s="42" t="n">
        <f aca="false">SUM(F22,F78,F152)</f>
        <v>-13874045</v>
      </c>
      <c r="G154" s="42" t="n">
        <f aca="false">SUM(G22,G78,G152)</f>
        <v>-10565679.28</v>
      </c>
      <c r="H154" s="42" t="n">
        <f aca="false">SUM(H22,H78,H152)</f>
        <v>-11422663.73</v>
      </c>
      <c r="I154" s="42" t="n">
        <f aca="false">SUM(I22,I78,I152)</f>
        <v>-23714232.73</v>
      </c>
      <c r="J154" s="42" t="n">
        <f aca="false">SUM(J22,J78,J152)</f>
        <v>-22164232.73</v>
      </c>
      <c r="K154" s="42" t="n">
        <f aca="false">SUM(K22,K78,K152)</f>
        <v>102678017</v>
      </c>
      <c r="L154" s="42" t="n">
        <f aca="false">SUM(L22,L78,L152)</f>
        <v>-16737277</v>
      </c>
      <c r="M154" s="42" t="n">
        <f aca="false">SUM(M22,M78,M152)</f>
        <v>-16737277</v>
      </c>
      <c r="N154" s="42" t="n">
        <f aca="false">SUM(N22,N78,N152)</f>
        <v>-4087277</v>
      </c>
      <c r="O154" s="42" t="n">
        <f aca="false">SUM(O22,O78,O152)</f>
        <v>-24673677</v>
      </c>
      <c r="P154" s="42" t="n">
        <f aca="false">SUM(P22,P78,P152)</f>
        <v>-24673677</v>
      </c>
      <c r="Q154" s="42"/>
      <c r="S154" s="42" t="n">
        <f aca="false">SUM(E154:O154)</f>
        <v>-53349077.47</v>
      </c>
      <c r="T154" s="27"/>
    </row>
    <row r="155" s="53" customFormat="true" ht="18" hidden="false" customHeight="true" outlineLevel="0" collapsed="false">
      <c r="B155" s="54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S155" s="75"/>
      <c r="T155" s="27"/>
    </row>
    <row r="156" s="53" customFormat="true" ht="18" hidden="false" customHeight="true" outlineLevel="0" collapsed="false">
      <c r="B156" s="54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S156" s="75"/>
      <c r="T156" s="27"/>
    </row>
    <row r="157" s="6" customFormat="true" ht="18" hidden="false" customHeight="true" outlineLevel="0" collapsed="false">
      <c r="B157" s="11" t="s">
        <v>152</v>
      </c>
      <c r="C157" s="76" t="s">
        <v>153</v>
      </c>
      <c r="D157" s="50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S157" s="77"/>
      <c r="T157" s="27"/>
    </row>
    <row r="158" s="6" customFormat="true" ht="18" hidden="false" customHeight="true" outlineLevel="0" collapsed="false">
      <c r="B158" s="11" t="n">
        <v>1</v>
      </c>
      <c r="C158" s="78" t="s">
        <v>154</v>
      </c>
      <c r="D158" s="50"/>
      <c r="E158" s="79" t="n">
        <f aca="false">SUM(E159:E163)</f>
        <v>1023.13</v>
      </c>
      <c r="F158" s="79" t="n">
        <f aca="false">SUM(F159:F163)</f>
        <v>2145.1</v>
      </c>
      <c r="G158" s="79" t="n">
        <f aca="false">SUM(G159:G163)</f>
        <v>2999.96</v>
      </c>
      <c r="H158" s="79" t="n">
        <f aca="false">SUM(H159:H163)</f>
        <v>657.77</v>
      </c>
      <c r="I158" s="79" t="n">
        <f aca="false">SUM(I159:I163)</f>
        <v>2663.27</v>
      </c>
      <c r="J158" s="79" t="n">
        <f aca="false">SUM(J159:J163)</f>
        <v>119.69</v>
      </c>
      <c r="K158" s="79" t="n">
        <f aca="false">SUM(K159:K163)</f>
        <v>488.06</v>
      </c>
      <c r="L158" s="79" t="n">
        <f aca="false">SUM(L159:L163)</f>
        <v>1055.7</v>
      </c>
      <c r="M158" s="79" t="n">
        <f aca="false">SUM(M159:M163)</f>
        <v>122.15</v>
      </c>
      <c r="N158" s="79" t="n">
        <f aca="false">SUM(N159:N163)</f>
        <v>1043.49</v>
      </c>
      <c r="O158" s="79" t="n">
        <f aca="false">SUM(O159:O163)</f>
        <v>3787.76</v>
      </c>
      <c r="P158" s="79" t="n">
        <f aca="false">SUM(P159:P163)</f>
        <v>3787.76</v>
      </c>
      <c r="Q158" s="79"/>
      <c r="S158" s="31" t="n">
        <f aca="false">SUM(E158:O158)</f>
        <v>16106.08</v>
      </c>
      <c r="T158" s="27"/>
    </row>
    <row r="159" s="6" customFormat="true" ht="18" hidden="false" customHeight="true" outlineLevel="1" collapsed="false">
      <c r="B159" s="11"/>
      <c r="C159" s="63" t="s">
        <v>155</v>
      </c>
      <c r="D159" s="50"/>
      <c r="E159" s="34" t="n">
        <v>1023.13</v>
      </c>
      <c r="F159" s="34" t="n">
        <v>2145.1</v>
      </c>
      <c r="G159" s="34" t="n">
        <v>2999.96</v>
      </c>
      <c r="H159" s="34" t="n">
        <v>657.77</v>
      </c>
      <c r="I159" s="34" t="n">
        <v>2663.27</v>
      </c>
      <c r="J159" s="34" t="n">
        <v>119.69</v>
      </c>
      <c r="K159" s="34" t="n">
        <v>488.06</v>
      </c>
      <c r="L159" s="34" t="n">
        <v>1055.7</v>
      </c>
      <c r="M159" s="34" t="n">
        <v>122.15</v>
      </c>
      <c r="N159" s="34" t="n">
        <v>1043.49</v>
      </c>
      <c r="O159" s="34" t="n">
        <v>3787.76</v>
      </c>
      <c r="P159" s="34" t="n">
        <v>3787.76</v>
      </c>
      <c r="Q159" s="34"/>
      <c r="S159" s="35" t="n">
        <f aca="false">SUM(E159:O159)</f>
        <v>16106.08</v>
      </c>
      <c r="T159" s="27"/>
    </row>
    <row r="160" s="6" customFormat="true" ht="18" hidden="false" customHeight="true" outlineLevel="1" collapsed="false">
      <c r="B160" s="11"/>
      <c r="C160" s="63" t="s">
        <v>156</v>
      </c>
      <c r="D160" s="50"/>
      <c r="E160" s="34" t="n">
        <v>0</v>
      </c>
      <c r="F160" s="34" t="n">
        <v>0</v>
      </c>
      <c r="G160" s="34" t="n">
        <v>0</v>
      </c>
      <c r="H160" s="34" t="n">
        <v>0</v>
      </c>
      <c r="I160" s="34" t="n">
        <v>0</v>
      </c>
      <c r="J160" s="34" t="n">
        <v>0</v>
      </c>
      <c r="K160" s="34" t="n">
        <v>0</v>
      </c>
      <c r="L160" s="34" t="n">
        <v>0</v>
      </c>
      <c r="M160" s="34" t="n">
        <v>0</v>
      </c>
      <c r="N160" s="34" t="n">
        <v>0</v>
      </c>
      <c r="O160" s="34" t="n">
        <v>0</v>
      </c>
      <c r="P160" s="34" t="n">
        <v>0</v>
      </c>
      <c r="Q160" s="34"/>
      <c r="S160" s="35" t="n">
        <f aca="false">SUM(E160:O160)</f>
        <v>0</v>
      </c>
      <c r="T160" s="27"/>
    </row>
    <row r="161" s="6" customFormat="true" ht="18" hidden="false" customHeight="true" outlineLevel="1" collapsed="false">
      <c r="B161" s="11"/>
      <c r="C161" s="63" t="s">
        <v>157</v>
      </c>
      <c r="D161" s="50"/>
      <c r="E161" s="34" t="n">
        <v>0</v>
      </c>
      <c r="F161" s="34" t="n">
        <v>0</v>
      </c>
      <c r="G161" s="34" t="n">
        <v>0</v>
      </c>
      <c r="H161" s="34" t="n">
        <v>0</v>
      </c>
      <c r="I161" s="34" t="n">
        <v>0</v>
      </c>
      <c r="J161" s="34" t="n">
        <v>0</v>
      </c>
      <c r="K161" s="34" t="n">
        <v>0</v>
      </c>
      <c r="L161" s="34" t="n">
        <v>0</v>
      </c>
      <c r="M161" s="34" t="n">
        <v>0</v>
      </c>
      <c r="N161" s="34" t="n">
        <v>0</v>
      </c>
      <c r="O161" s="34" t="n">
        <v>0</v>
      </c>
      <c r="P161" s="34" t="n">
        <v>0</v>
      </c>
      <c r="Q161" s="34"/>
      <c r="S161" s="35" t="n">
        <f aca="false">SUM(E161:O161)</f>
        <v>0</v>
      </c>
      <c r="T161" s="27"/>
    </row>
    <row r="162" s="6" customFormat="true" ht="18" hidden="false" customHeight="true" outlineLevel="1" collapsed="false">
      <c r="B162" s="11"/>
      <c r="C162" s="63" t="s">
        <v>158</v>
      </c>
      <c r="D162" s="50"/>
      <c r="E162" s="34" t="n">
        <v>0</v>
      </c>
      <c r="F162" s="34" t="n">
        <v>0</v>
      </c>
      <c r="G162" s="34" t="n">
        <v>0</v>
      </c>
      <c r="H162" s="34" t="n">
        <v>0</v>
      </c>
      <c r="I162" s="34" t="n">
        <v>0</v>
      </c>
      <c r="J162" s="34" t="n">
        <v>0</v>
      </c>
      <c r="K162" s="34" t="n">
        <v>0</v>
      </c>
      <c r="L162" s="34" t="n">
        <v>0</v>
      </c>
      <c r="M162" s="34" t="n">
        <v>0</v>
      </c>
      <c r="N162" s="34" t="n">
        <v>0</v>
      </c>
      <c r="O162" s="34" t="n">
        <v>0</v>
      </c>
      <c r="P162" s="34" t="n">
        <v>0</v>
      </c>
      <c r="Q162" s="34"/>
      <c r="S162" s="35" t="n">
        <f aca="false">SUM(E162:O162)</f>
        <v>0</v>
      </c>
      <c r="T162" s="27"/>
    </row>
    <row r="163" s="6" customFormat="true" ht="18" hidden="false" customHeight="true" outlineLevel="1" collapsed="false">
      <c r="B163" s="11"/>
      <c r="C163" s="63" t="s">
        <v>159</v>
      </c>
      <c r="D163" s="50"/>
      <c r="E163" s="34" t="n">
        <v>0</v>
      </c>
      <c r="F163" s="34" t="n">
        <v>0</v>
      </c>
      <c r="G163" s="34" t="n">
        <v>0</v>
      </c>
      <c r="H163" s="34" t="n">
        <v>0</v>
      </c>
      <c r="I163" s="34" t="n">
        <v>0</v>
      </c>
      <c r="J163" s="34" t="n">
        <v>0</v>
      </c>
      <c r="K163" s="34" t="n">
        <v>0</v>
      </c>
      <c r="L163" s="34" t="n">
        <v>0</v>
      </c>
      <c r="M163" s="34" t="n">
        <v>0</v>
      </c>
      <c r="N163" s="34" t="n">
        <v>0</v>
      </c>
      <c r="O163" s="34" t="n">
        <v>0</v>
      </c>
      <c r="P163" s="34" t="n">
        <v>0</v>
      </c>
      <c r="Q163" s="34"/>
      <c r="S163" s="35" t="n">
        <f aca="false">SUM(E163:O163)</f>
        <v>0</v>
      </c>
      <c r="T163" s="27"/>
    </row>
    <row r="164" s="6" customFormat="true" ht="18" hidden="false" customHeight="true" outlineLevel="0" collapsed="false">
      <c r="B164" s="11"/>
      <c r="C164" s="80" t="s">
        <v>160</v>
      </c>
      <c r="D164" s="50"/>
      <c r="E164" s="81" t="n">
        <f aca="false">SUM(E158)</f>
        <v>1023.13</v>
      </c>
      <c r="F164" s="81" t="n">
        <f aca="false">SUM(F158)</f>
        <v>2145.1</v>
      </c>
      <c r="G164" s="81" t="n">
        <f aca="false">SUM(G158)</f>
        <v>2999.96</v>
      </c>
      <c r="H164" s="81" t="n">
        <f aca="false">SUM(H158)</f>
        <v>657.77</v>
      </c>
      <c r="I164" s="81" t="n">
        <f aca="false">SUM(I158)</f>
        <v>2663.27</v>
      </c>
      <c r="J164" s="81" t="n">
        <f aca="false">SUM(J158)</f>
        <v>119.69</v>
      </c>
      <c r="K164" s="81" t="n">
        <f aca="false">SUM(K158)</f>
        <v>488.06</v>
      </c>
      <c r="L164" s="81" t="n">
        <f aca="false">SUM(L158)</f>
        <v>1055.7</v>
      </c>
      <c r="M164" s="81" t="n">
        <f aca="false">SUM(M158)</f>
        <v>122.15</v>
      </c>
      <c r="N164" s="81" t="n">
        <f aca="false">SUM(N158)</f>
        <v>1043.49</v>
      </c>
      <c r="O164" s="81" t="n">
        <f aca="false">SUM(O158)</f>
        <v>3787.76</v>
      </c>
      <c r="P164" s="81" t="n">
        <f aca="false">SUM(P158)</f>
        <v>3787.76</v>
      </c>
      <c r="Q164" s="81"/>
      <c r="S164" s="81" t="n">
        <f aca="false">SUM(E164:O164)</f>
        <v>16106.08</v>
      </c>
      <c r="T164" s="27"/>
    </row>
    <row r="165" s="6" customFormat="true" ht="18" hidden="false" customHeight="true" outlineLevel="0" collapsed="false"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S165" s="82"/>
      <c r="T165" s="27"/>
    </row>
    <row r="166" s="6" customFormat="true" ht="18" hidden="false" customHeight="true" outlineLevel="0" collapsed="false">
      <c r="B166" s="11" t="n">
        <v>2</v>
      </c>
      <c r="C166" s="83" t="s">
        <v>161</v>
      </c>
      <c r="D166" s="50"/>
      <c r="E166" s="84" t="n">
        <f aca="false">SUM(E167:E172)</f>
        <v>-56704.63</v>
      </c>
      <c r="F166" s="84" t="n">
        <f aca="false">SUM(F167:F172)</f>
        <v>-104429.02</v>
      </c>
      <c r="G166" s="84" t="n">
        <f aca="false">SUM(G167:G172)</f>
        <v>-88099.99</v>
      </c>
      <c r="H166" s="84" t="n">
        <f aca="false">SUM(H167:H172)</f>
        <v>-62631.55</v>
      </c>
      <c r="I166" s="84" t="n">
        <f aca="false">SUM(I167:I172)</f>
        <v>-50532.65</v>
      </c>
      <c r="J166" s="84" t="n">
        <f aca="false">SUM(J167:J172)</f>
        <v>-82500</v>
      </c>
      <c r="K166" s="84" t="n">
        <f aca="false">SUM(K167:K172)</f>
        <v>-50000</v>
      </c>
      <c r="L166" s="84" t="n">
        <f aca="false">SUM(L167:L172)</f>
        <v>-60000</v>
      </c>
      <c r="M166" s="84" t="n">
        <f aca="false">SUM(M167:M172)</f>
        <v>-60000</v>
      </c>
      <c r="N166" s="84" t="n">
        <f aca="false">SUM(N167:N172)</f>
        <v>-85208.7</v>
      </c>
      <c r="O166" s="84" t="n">
        <f aca="false">SUM(O167:O172)</f>
        <v>-102257.55</v>
      </c>
      <c r="P166" s="84" t="n">
        <f aca="false">SUM(P167:P172)</f>
        <v>-102257.55</v>
      </c>
      <c r="Q166" s="77"/>
      <c r="S166" s="84" t="n">
        <f aca="false">SUM(E166:P166)</f>
        <v>-904621.64</v>
      </c>
      <c r="T166" s="27"/>
    </row>
    <row r="167" s="6" customFormat="true" ht="18" hidden="false" customHeight="true" outlineLevel="1" collapsed="false">
      <c r="B167" s="11"/>
      <c r="C167" s="85" t="s">
        <v>162</v>
      </c>
      <c r="D167" s="50"/>
      <c r="E167" s="79" t="n">
        <v>0</v>
      </c>
      <c r="F167" s="79" t="n">
        <v>0</v>
      </c>
      <c r="G167" s="79" t="n">
        <v>0</v>
      </c>
      <c r="H167" s="79" t="n">
        <v>0</v>
      </c>
      <c r="I167" s="79" t="n">
        <v>0</v>
      </c>
      <c r="J167" s="79" t="n">
        <v>0</v>
      </c>
      <c r="K167" s="79" t="n">
        <v>0</v>
      </c>
      <c r="L167" s="79" t="n">
        <v>0</v>
      </c>
      <c r="M167" s="79" t="n">
        <v>0</v>
      </c>
      <c r="N167" s="79" t="n">
        <v>0</v>
      </c>
      <c r="O167" s="79" t="n">
        <v>0</v>
      </c>
      <c r="P167" s="79" t="n">
        <v>0</v>
      </c>
      <c r="Q167" s="79"/>
      <c r="S167" s="31" t="n">
        <f aca="false">SUM(E167:O167)</f>
        <v>0</v>
      </c>
      <c r="T167" s="27"/>
    </row>
    <row r="168" s="6" customFormat="true" ht="18" hidden="false" customHeight="true" outlineLevel="1" collapsed="false">
      <c r="B168" s="11"/>
      <c r="C168" s="63" t="s">
        <v>163</v>
      </c>
      <c r="D168" s="50"/>
      <c r="E168" s="34" t="n">
        <v>-56704.63</v>
      </c>
      <c r="F168" s="34" t="n">
        <v>-104429.02</v>
      </c>
      <c r="G168" s="34" t="n">
        <v>-88099.99</v>
      </c>
      <c r="H168" s="34" t="n">
        <v>-62631.55</v>
      </c>
      <c r="I168" s="34" t="n">
        <v>-50532.65</v>
      </c>
      <c r="J168" s="34" t="n">
        <v>-82500</v>
      </c>
      <c r="K168" s="34" t="n">
        <v>-50000</v>
      </c>
      <c r="L168" s="34" t="n">
        <v>-60000</v>
      </c>
      <c r="M168" s="34" t="n">
        <v>-60000</v>
      </c>
      <c r="N168" s="34" t="n">
        <v>-85208.7</v>
      </c>
      <c r="O168" s="34" t="n">
        <v>-102257.55</v>
      </c>
      <c r="P168" s="34" t="n">
        <v>-102257.55</v>
      </c>
      <c r="Q168" s="34"/>
      <c r="S168" s="35" t="n">
        <f aca="false">SUM(E168:O168)</f>
        <v>-802364.09</v>
      </c>
      <c r="T168" s="27"/>
    </row>
    <row r="169" s="6" customFormat="true" ht="18" hidden="false" customHeight="true" outlineLevel="1" collapsed="false">
      <c r="B169" s="11"/>
      <c r="C169" s="63" t="s">
        <v>164</v>
      </c>
      <c r="D169" s="50"/>
      <c r="E169" s="34" t="n">
        <v>0</v>
      </c>
      <c r="F169" s="34" t="n">
        <v>0</v>
      </c>
      <c r="G169" s="34" t="n">
        <v>0</v>
      </c>
      <c r="H169" s="34" t="n">
        <v>0</v>
      </c>
      <c r="I169" s="34" t="n">
        <v>0</v>
      </c>
      <c r="J169" s="34" t="n">
        <v>0</v>
      </c>
      <c r="K169" s="34" t="n">
        <v>0</v>
      </c>
      <c r="L169" s="34" t="n">
        <v>0</v>
      </c>
      <c r="M169" s="34" t="n">
        <v>0</v>
      </c>
      <c r="N169" s="34" t="n">
        <v>0</v>
      </c>
      <c r="O169" s="34" t="n">
        <v>0</v>
      </c>
      <c r="P169" s="34" t="n">
        <v>0</v>
      </c>
      <c r="Q169" s="34"/>
      <c r="S169" s="35" t="n">
        <f aca="false">SUM(E169:O169)</f>
        <v>0</v>
      </c>
      <c r="T169" s="27"/>
    </row>
    <row r="170" s="6" customFormat="true" ht="18" hidden="false" customHeight="true" outlineLevel="1" collapsed="false">
      <c r="B170" s="11"/>
      <c r="C170" s="63" t="s">
        <v>165</v>
      </c>
      <c r="D170" s="50"/>
      <c r="E170" s="34" t="n">
        <v>0</v>
      </c>
      <c r="F170" s="34" t="n">
        <v>0</v>
      </c>
      <c r="G170" s="34" t="n">
        <v>0</v>
      </c>
      <c r="H170" s="34" t="n">
        <v>0</v>
      </c>
      <c r="I170" s="34" t="n">
        <v>0</v>
      </c>
      <c r="J170" s="34" t="n">
        <v>0</v>
      </c>
      <c r="K170" s="34" t="n">
        <v>0</v>
      </c>
      <c r="L170" s="34" t="n">
        <v>0</v>
      </c>
      <c r="M170" s="34" t="n">
        <v>0</v>
      </c>
      <c r="N170" s="34" t="n">
        <v>0</v>
      </c>
      <c r="O170" s="34" t="n">
        <v>0</v>
      </c>
      <c r="P170" s="34" t="n">
        <v>0</v>
      </c>
      <c r="Q170" s="34"/>
      <c r="S170" s="35" t="n">
        <f aca="false">SUM(E170:O170)</f>
        <v>0</v>
      </c>
      <c r="T170" s="27"/>
    </row>
    <row r="171" s="6" customFormat="true" ht="18" hidden="false" customHeight="true" outlineLevel="1" collapsed="false">
      <c r="B171" s="86"/>
      <c r="C171" s="63" t="s">
        <v>166</v>
      </c>
      <c r="D171" s="50"/>
      <c r="E171" s="34" t="n">
        <v>0</v>
      </c>
      <c r="F171" s="34" t="n">
        <v>0</v>
      </c>
      <c r="G171" s="34" t="n">
        <v>0</v>
      </c>
      <c r="H171" s="34" t="n">
        <v>0</v>
      </c>
      <c r="I171" s="34" t="n">
        <v>0</v>
      </c>
      <c r="J171" s="34" t="n">
        <v>0</v>
      </c>
      <c r="K171" s="34" t="n">
        <v>0</v>
      </c>
      <c r="L171" s="34" t="n">
        <v>0</v>
      </c>
      <c r="M171" s="34" t="n">
        <v>0</v>
      </c>
      <c r="N171" s="34" t="n">
        <v>0</v>
      </c>
      <c r="O171" s="34" t="n">
        <v>0</v>
      </c>
      <c r="P171" s="34" t="n">
        <v>0</v>
      </c>
      <c r="Q171" s="34"/>
      <c r="S171" s="35" t="n">
        <f aca="false">SUM(E171:O171)</f>
        <v>0</v>
      </c>
      <c r="T171" s="27"/>
    </row>
    <row r="172" s="6" customFormat="true" ht="18" hidden="false" customHeight="true" outlineLevel="1" collapsed="false">
      <c r="B172" s="86"/>
      <c r="C172" s="63" t="s">
        <v>167</v>
      </c>
      <c r="D172" s="50"/>
      <c r="E172" s="34" t="n">
        <v>0</v>
      </c>
      <c r="F172" s="34" t="n">
        <v>0</v>
      </c>
      <c r="G172" s="34" t="n">
        <v>0</v>
      </c>
      <c r="H172" s="34" t="n">
        <v>0</v>
      </c>
      <c r="I172" s="34" t="n">
        <v>0</v>
      </c>
      <c r="J172" s="34" t="n">
        <v>0</v>
      </c>
      <c r="K172" s="34" t="n">
        <v>0</v>
      </c>
      <c r="L172" s="34" t="n">
        <v>0</v>
      </c>
      <c r="M172" s="34" t="n">
        <v>0</v>
      </c>
      <c r="N172" s="34" t="n">
        <v>0</v>
      </c>
      <c r="O172" s="34" t="n">
        <v>0</v>
      </c>
      <c r="P172" s="34" t="n">
        <v>0</v>
      </c>
      <c r="Q172" s="34"/>
      <c r="S172" s="35" t="n">
        <f aca="false">SUM(E172:O172)</f>
        <v>0</v>
      </c>
      <c r="T172" s="27"/>
    </row>
    <row r="173" s="6" customFormat="true" ht="18" hidden="false" customHeight="true" outlineLevel="1" collapsed="false">
      <c r="B173" s="11"/>
      <c r="C173" s="63"/>
      <c r="D173" s="50"/>
      <c r="E173" s="34" t="n">
        <v>0</v>
      </c>
      <c r="F173" s="34" t="n">
        <v>0</v>
      </c>
      <c r="G173" s="34" t="n">
        <v>0</v>
      </c>
      <c r="H173" s="34" t="n">
        <v>0</v>
      </c>
      <c r="I173" s="34" t="n">
        <v>0</v>
      </c>
      <c r="J173" s="34" t="n">
        <v>0</v>
      </c>
      <c r="K173" s="34" t="n">
        <v>0</v>
      </c>
      <c r="L173" s="34" t="n">
        <v>0</v>
      </c>
      <c r="M173" s="34" t="n">
        <v>0</v>
      </c>
      <c r="N173" s="34" t="n">
        <v>0</v>
      </c>
      <c r="O173" s="34" t="n">
        <v>0</v>
      </c>
      <c r="P173" s="34" t="n">
        <v>0</v>
      </c>
      <c r="Q173" s="34"/>
      <c r="S173" s="35" t="n">
        <f aca="false">SUM(E173:O173)</f>
        <v>0</v>
      </c>
      <c r="T173" s="27"/>
    </row>
    <row r="174" s="6" customFormat="true" ht="18" hidden="false" customHeight="true" outlineLevel="1" collapsed="false">
      <c r="B174" s="11"/>
      <c r="C174" s="63"/>
      <c r="D174" s="50"/>
      <c r="E174" s="34" t="n">
        <v>0</v>
      </c>
      <c r="F174" s="34" t="n">
        <v>0</v>
      </c>
      <c r="G174" s="34" t="n">
        <v>0</v>
      </c>
      <c r="H174" s="34" t="n">
        <v>0</v>
      </c>
      <c r="I174" s="34" t="n">
        <v>0</v>
      </c>
      <c r="J174" s="34" t="n">
        <v>0</v>
      </c>
      <c r="K174" s="34" t="n">
        <v>0</v>
      </c>
      <c r="L174" s="34" t="n">
        <v>0</v>
      </c>
      <c r="M174" s="34" t="n">
        <v>0</v>
      </c>
      <c r="N174" s="34" t="n">
        <v>0</v>
      </c>
      <c r="O174" s="34" t="n">
        <v>0</v>
      </c>
      <c r="P174" s="34" t="n">
        <v>0</v>
      </c>
      <c r="Q174" s="34"/>
      <c r="S174" s="35" t="n">
        <f aca="false">SUM(E174:O174)</f>
        <v>0</v>
      </c>
      <c r="T174" s="27"/>
    </row>
    <row r="175" s="6" customFormat="true" ht="18" hidden="false" customHeight="true" outlineLevel="1" collapsed="false">
      <c r="B175" s="11"/>
      <c r="C175" s="63"/>
      <c r="D175" s="50"/>
      <c r="E175" s="34" t="n">
        <v>0</v>
      </c>
      <c r="F175" s="34" t="n">
        <v>0</v>
      </c>
      <c r="G175" s="34" t="n">
        <v>0</v>
      </c>
      <c r="H175" s="34" t="n">
        <v>0</v>
      </c>
      <c r="I175" s="34" t="n">
        <v>0</v>
      </c>
      <c r="J175" s="34" t="n">
        <v>0</v>
      </c>
      <c r="K175" s="34" t="n">
        <v>0</v>
      </c>
      <c r="L175" s="34" t="n">
        <v>0</v>
      </c>
      <c r="M175" s="34" t="n">
        <v>0</v>
      </c>
      <c r="N175" s="34" t="n">
        <v>0</v>
      </c>
      <c r="O175" s="34" t="n">
        <v>0</v>
      </c>
      <c r="P175" s="34" t="n">
        <v>0</v>
      </c>
      <c r="Q175" s="34"/>
      <c r="S175" s="35" t="n">
        <f aca="false">SUM(E175:O175)</f>
        <v>0</v>
      </c>
      <c r="T175" s="27"/>
    </row>
    <row r="176" s="6" customFormat="true" ht="18" hidden="false" customHeight="true" outlineLevel="0" collapsed="false">
      <c r="B176" s="11"/>
      <c r="C176" s="80" t="s">
        <v>168</v>
      </c>
      <c r="D176" s="50"/>
      <c r="E176" s="35" t="n">
        <f aca="false">SUM(E166)</f>
        <v>-56704.63</v>
      </c>
      <c r="F176" s="35" t="n">
        <f aca="false">SUM(F166)</f>
        <v>-104429.02</v>
      </c>
      <c r="G176" s="35" t="n">
        <f aca="false">SUM(G166)</f>
        <v>-88099.99</v>
      </c>
      <c r="H176" s="35" t="n">
        <f aca="false">SUM(H166)</f>
        <v>-62631.55</v>
      </c>
      <c r="I176" s="35" t="n">
        <f aca="false">SUM(I166)</f>
        <v>-50532.65</v>
      </c>
      <c r="J176" s="35" t="n">
        <f aca="false">SUM(J166)</f>
        <v>-82500</v>
      </c>
      <c r="K176" s="35" t="n">
        <f aca="false">SUM(K166)</f>
        <v>-50000</v>
      </c>
      <c r="L176" s="35" t="n">
        <f aca="false">SUM(L166)</f>
        <v>-60000</v>
      </c>
      <c r="M176" s="35" t="n">
        <f aca="false">SUM(M166)</f>
        <v>-60000</v>
      </c>
      <c r="N176" s="35" t="n">
        <f aca="false">SUM(N166)</f>
        <v>-85208.7</v>
      </c>
      <c r="O176" s="35" t="n">
        <f aca="false">SUM(O166)</f>
        <v>-102257.55</v>
      </c>
      <c r="P176" s="35" t="n">
        <f aca="false">SUM(P166)</f>
        <v>-102257.55</v>
      </c>
      <c r="Q176" s="35"/>
      <c r="S176" s="35" t="n">
        <f aca="false">SUM(E176:O176)</f>
        <v>-802364.09</v>
      </c>
      <c r="T176" s="27"/>
    </row>
    <row r="177" s="6" customFormat="true" ht="18" hidden="false" customHeight="true" outlineLevel="0" collapsed="false">
      <c r="T177" s="27"/>
    </row>
    <row r="178" s="6" customFormat="true" ht="18" hidden="false" customHeight="true" outlineLevel="0" collapsed="false">
      <c r="B178" s="11"/>
      <c r="C178" s="87" t="s">
        <v>169</v>
      </c>
      <c r="D178" s="50"/>
      <c r="E178" s="88" t="n">
        <f aca="false">SUM(E164,E176)</f>
        <v>-55681.5</v>
      </c>
      <c r="F178" s="88" t="n">
        <f aca="false">SUM(F164,F176)</f>
        <v>-102283.92</v>
      </c>
      <c r="G178" s="88" t="n">
        <f aca="false">SUM(G164,G176)</f>
        <v>-85100.03</v>
      </c>
      <c r="H178" s="88" t="n">
        <f aca="false">SUM(H164,H176)</f>
        <v>-61973.78</v>
      </c>
      <c r="I178" s="88" t="n">
        <f aca="false">SUM(I164,I176)</f>
        <v>-47869.38</v>
      </c>
      <c r="J178" s="88" t="n">
        <f aca="false">SUM(J164,J176)</f>
        <v>-82380.31</v>
      </c>
      <c r="K178" s="88" t="n">
        <f aca="false">SUM(K164,K176)</f>
        <v>-49511.94</v>
      </c>
      <c r="L178" s="88" t="n">
        <f aca="false">SUM(L164,L176)</f>
        <v>-58944.3</v>
      </c>
      <c r="M178" s="88" t="n">
        <f aca="false">SUM(M164,M176)</f>
        <v>-59877.85</v>
      </c>
      <c r="N178" s="88" t="n">
        <f aca="false">SUM(N164,N176)</f>
        <v>-84165.21</v>
      </c>
      <c r="O178" s="88" t="n">
        <f aca="false">SUM(O164,O176)</f>
        <v>-98469.79</v>
      </c>
      <c r="P178" s="88" t="n">
        <f aca="false">SUM(P164,P176)</f>
        <v>-98469.79</v>
      </c>
      <c r="Q178" s="88"/>
      <c r="S178" s="88" t="n">
        <f aca="false">SUM(E178:O178)</f>
        <v>-786258.01</v>
      </c>
      <c r="T178" s="27"/>
    </row>
    <row r="179" s="53" customFormat="true" ht="18" hidden="false" customHeight="true" outlineLevel="0" collapsed="false">
      <c r="B179" s="54"/>
      <c r="C179" s="89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S179" s="72"/>
      <c r="T179" s="27"/>
    </row>
    <row r="180" s="6" customFormat="true" ht="18" hidden="false" customHeight="true" outlineLevel="0" collapsed="false">
      <c r="B180" s="11" t="s">
        <v>170</v>
      </c>
      <c r="C180" s="90" t="s">
        <v>171</v>
      </c>
      <c r="D180" s="50"/>
      <c r="E180" s="88" t="n">
        <f aca="false">SUM(E22,E78,E152,E178)</f>
        <v>-12106414.5</v>
      </c>
      <c r="F180" s="88" t="n">
        <f aca="false">SUM(F22,F78,F152,F178)</f>
        <v>-13976328.92</v>
      </c>
      <c r="G180" s="88" t="n">
        <f aca="false">SUM(G22,G78,G152,G178)</f>
        <v>-10650779.31</v>
      </c>
      <c r="H180" s="88" t="n">
        <f aca="false">SUM(H22,H78,H152,H178)</f>
        <v>-11484637.51</v>
      </c>
      <c r="I180" s="88" t="n">
        <f aca="false">SUM(I22,I78,I152,I178)</f>
        <v>-23762102.11</v>
      </c>
      <c r="J180" s="88" t="n">
        <f aca="false">SUM(J22,J78,J152,J178)</f>
        <v>-22246613.04</v>
      </c>
      <c r="K180" s="88" t="n">
        <f aca="false">SUM(K22,K78,K152,K178)</f>
        <v>102628505.06</v>
      </c>
      <c r="L180" s="88" t="n">
        <f aca="false">SUM(L22,L78,L152,L178)</f>
        <v>-16796221.3</v>
      </c>
      <c r="M180" s="88" t="n">
        <f aca="false">SUM(M22,M78,M152,M178)</f>
        <v>-16797154.85</v>
      </c>
      <c r="N180" s="88" t="n">
        <f aca="false">SUM(N22,N78,N152,N178)</f>
        <v>-4171442.21</v>
      </c>
      <c r="O180" s="88" t="n">
        <f aca="false">SUM(O22,O78,O152,O178)</f>
        <v>-24772146.79</v>
      </c>
      <c r="P180" s="88" t="n">
        <f aca="false">SUM(P22,P78,P152,P178)</f>
        <v>-24772146.79</v>
      </c>
      <c r="Q180" s="88"/>
      <c r="S180" s="88" t="n">
        <f aca="false">SUM(E180:O180)</f>
        <v>-54135335.48</v>
      </c>
      <c r="T180" s="27"/>
    </row>
    <row r="181" s="6" customFormat="true" ht="18" hidden="false" customHeight="true" outlineLevel="0" collapsed="false">
      <c r="B181" s="11"/>
      <c r="C181" s="45"/>
      <c r="D181" s="50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S181" s="27"/>
      <c r="T181" s="27"/>
    </row>
    <row r="182" s="53" customFormat="true" ht="18" hidden="false" customHeight="true" outlineLevel="0" collapsed="false">
      <c r="B182" s="54" t="s">
        <v>172</v>
      </c>
      <c r="C182" s="89" t="s">
        <v>173</v>
      </c>
      <c r="D182" s="72"/>
      <c r="E182" s="91" t="n">
        <f aca="false">SUM(E183:E184)</f>
        <v>0</v>
      </c>
      <c r="F182" s="91" t="n">
        <f aca="false">SUM(F183:F184)</f>
        <v>0</v>
      </c>
      <c r="G182" s="91" t="n">
        <f aca="false">SUM(G183:G184)</f>
        <v>0</v>
      </c>
      <c r="H182" s="91" t="n">
        <f aca="false">SUM(H183:H184)</f>
        <v>0</v>
      </c>
      <c r="I182" s="91" t="n">
        <f aca="false">SUM(I183:I184)</f>
        <v>0</v>
      </c>
      <c r="J182" s="91" t="n">
        <f aca="false">SUM(J183:J184)</f>
        <v>0</v>
      </c>
      <c r="K182" s="91" t="n">
        <f aca="false">SUM(K183:K184)</f>
        <v>0</v>
      </c>
      <c r="L182" s="91" t="n">
        <f aca="false">SUM(L183:L184)</f>
        <v>0</v>
      </c>
      <c r="M182" s="91" t="n">
        <f aca="false">SUM(M183:M184)</f>
        <v>0</v>
      </c>
      <c r="N182" s="91" t="n">
        <f aca="false">SUM(N183:N184)</f>
        <v>0</v>
      </c>
      <c r="O182" s="91" t="n">
        <f aca="false">SUM(O183:O184)</f>
        <v>0</v>
      </c>
      <c r="P182" s="91" t="n">
        <f aca="false">SUM(P183:P184)</f>
        <v>0</v>
      </c>
      <c r="Q182" s="91"/>
      <c r="S182" s="91" t="n">
        <f aca="false">SUM(E182:P182)</f>
        <v>0</v>
      </c>
      <c r="T182" s="27"/>
    </row>
    <row r="183" s="6" customFormat="true" ht="18" hidden="false" customHeight="true" outlineLevel="0" collapsed="false">
      <c r="B183" s="11"/>
      <c r="C183" s="92" t="s">
        <v>174</v>
      </c>
      <c r="D183" s="50"/>
      <c r="E183" s="93" t="n">
        <v>0</v>
      </c>
      <c r="F183" s="93" t="n">
        <v>0</v>
      </c>
      <c r="G183" s="93" t="n">
        <v>0</v>
      </c>
      <c r="H183" s="93" t="n">
        <v>0</v>
      </c>
      <c r="I183" s="93" t="n">
        <v>0</v>
      </c>
      <c r="J183" s="93" t="n">
        <v>0</v>
      </c>
      <c r="K183" s="93" t="n">
        <v>0</v>
      </c>
      <c r="L183" s="93" t="n">
        <v>0</v>
      </c>
      <c r="M183" s="93" t="n">
        <v>0</v>
      </c>
      <c r="N183" s="93" t="n">
        <v>0</v>
      </c>
      <c r="O183" s="93" t="n">
        <v>0</v>
      </c>
      <c r="P183" s="93" t="n">
        <v>0</v>
      </c>
      <c r="Q183" s="93"/>
      <c r="S183" s="59" t="n">
        <f aca="false">SUM(E183:O183)</f>
        <v>0</v>
      </c>
      <c r="T183" s="27"/>
    </row>
    <row r="184" s="6" customFormat="true" ht="18" hidden="false" customHeight="true" outlineLevel="0" collapsed="false">
      <c r="B184" s="11"/>
      <c r="C184" s="94" t="s">
        <v>175</v>
      </c>
      <c r="D184" s="50"/>
      <c r="E184" s="95" t="n">
        <v>0</v>
      </c>
      <c r="F184" s="95" t="n">
        <v>0</v>
      </c>
      <c r="G184" s="95" t="n">
        <v>0</v>
      </c>
      <c r="H184" s="95" t="n">
        <v>0</v>
      </c>
      <c r="I184" s="95" t="n">
        <v>0</v>
      </c>
      <c r="J184" s="95" t="n">
        <v>0</v>
      </c>
      <c r="K184" s="95" t="n">
        <v>0</v>
      </c>
      <c r="L184" s="95" t="n">
        <v>0</v>
      </c>
      <c r="M184" s="95" t="n">
        <v>0</v>
      </c>
      <c r="N184" s="95" t="n">
        <v>0</v>
      </c>
      <c r="O184" s="95" t="n">
        <v>0</v>
      </c>
      <c r="P184" s="95" t="n">
        <v>0</v>
      </c>
      <c r="Q184" s="95"/>
      <c r="S184" s="70" t="n">
        <f aca="false">SUM(E184:O184)</f>
        <v>0</v>
      </c>
      <c r="T184" s="27"/>
    </row>
    <row r="185" s="6" customFormat="true" ht="18" hidden="false" customHeight="true" outlineLevel="0" collapsed="false">
      <c r="B185" s="11"/>
      <c r="D185" s="50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S185" s="27" t="n">
        <f aca="false">SUM(E185:N185)</f>
        <v>0</v>
      </c>
      <c r="T185" s="27"/>
    </row>
    <row r="186" s="6" customFormat="true" ht="18" hidden="false" customHeight="true" outlineLevel="0" collapsed="false">
      <c r="B186" s="11" t="s">
        <v>176</v>
      </c>
      <c r="C186" s="96" t="s">
        <v>177</v>
      </c>
      <c r="D186" s="50"/>
      <c r="E186" s="88" t="n">
        <f aca="false">SUM(E180,E182)</f>
        <v>-12106414.5</v>
      </c>
      <c r="F186" s="88" t="n">
        <f aca="false">SUM(F180,F182)</f>
        <v>-13976328.92</v>
      </c>
      <c r="G186" s="88" t="n">
        <f aca="false">SUM(G180,G182)</f>
        <v>-10650779.31</v>
      </c>
      <c r="H186" s="88" t="n">
        <f aca="false">SUM(H180,H182)</f>
        <v>-11484637.51</v>
      </c>
      <c r="I186" s="88" t="n">
        <f aca="false">SUM(I180,I182)</f>
        <v>-23762102.11</v>
      </c>
      <c r="J186" s="88" t="n">
        <f aca="false">SUM(J180,J182)</f>
        <v>-22246613.04</v>
      </c>
      <c r="K186" s="88" t="n">
        <f aca="false">SUM(K180,K182)</f>
        <v>102628505.06</v>
      </c>
      <c r="L186" s="88" t="n">
        <f aca="false">SUM(L180,L182)</f>
        <v>-16796221.3</v>
      </c>
      <c r="M186" s="88" t="n">
        <f aca="false">SUM(M180,M182)</f>
        <v>-16797154.85</v>
      </c>
      <c r="N186" s="88" t="n">
        <f aca="false">SUM(N180,N182)</f>
        <v>-4171442.21</v>
      </c>
      <c r="O186" s="88" t="n">
        <f aca="false">SUM(O180,O182)</f>
        <v>-24772146.79</v>
      </c>
      <c r="P186" s="88" t="n">
        <f aca="false">SUM(P180,P182)</f>
        <v>-24772146.79</v>
      </c>
      <c r="Q186" s="88"/>
      <c r="S186" s="88" t="n">
        <f aca="false">SUM(E186:O186)</f>
        <v>-54135335.48</v>
      </c>
    </row>
    <row r="187" s="53" customFormat="true" ht="18" hidden="false" customHeight="true" outlineLevel="0" collapsed="false">
      <c r="B187" s="54"/>
      <c r="C187" s="97" t="s">
        <v>82</v>
      </c>
      <c r="D187" s="72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6"/>
      <c r="S187" s="91"/>
      <c r="T187" s="6"/>
      <c r="U187" s="6"/>
    </row>
    <row r="188" s="6" customFormat="true" ht="18" hidden="false" customHeight="true" outlineLevel="0" collapsed="false">
      <c r="B188" s="7"/>
      <c r="C188" s="98" t="s">
        <v>178</v>
      </c>
      <c r="D188" s="99"/>
      <c r="E188" s="100" t="n">
        <f aca="false">E22</f>
        <v>23200000</v>
      </c>
      <c r="F188" s="100" t="n">
        <f aca="false">F22</f>
        <v>25200000</v>
      </c>
      <c r="G188" s="100" t="n">
        <f aca="false">G22</f>
        <v>24200000</v>
      </c>
      <c r="H188" s="100" t="n">
        <f aca="false">H22</f>
        <v>24200000</v>
      </c>
      <c r="I188" s="100" t="n">
        <f aca="false">I22</f>
        <v>2300000</v>
      </c>
      <c r="J188" s="100" t="n">
        <f aca="false">J22</f>
        <v>2300000</v>
      </c>
      <c r="K188" s="100" t="n">
        <f aca="false">K22</f>
        <v>125825000</v>
      </c>
      <c r="L188" s="100" t="n">
        <f aca="false">L22</f>
        <v>2300000</v>
      </c>
      <c r="M188" s="100" t="n">
        <f aca="false">M22</f>
        <v>2300000</v>
      </c>
      <c r="N188" s="100" t="n">
        <f aca="false">N22</f>
        <v>14800000</v>
      </c>
      <c r="O188" s="100" t="n">
        <f aca="false">O22</f>
        <v>7900000</v>
      </c>
      <c r="P188" s="100" t="n">
        <f aca="false">P22</f>
        <v>7900000</v>
      </c>
      <c r="Q188" s="100"/>
      <c r="S188" s="101" t="n">
        <f aca="false">SUM(E188:O188)</f>
        <v>254525000</v>
      </c>
    </row>
    <row r="189" s="6" customFormat="true" ht="18" hidden="false" customHeight="true" outlineLevel="0" collapsed="false">
      <c r="B189" s="7"/>
      <c r="C189" s="98" t="s">
        <v>179</v>
      </c>
      <c r="D189" s="99"/>
      <c r="E189" s="100" t="n">
        <f aca="false">E51+E64</f>
        <v>-21225418</v>
      </c>
      <c r="F189" s="100" t="n">
        <f aca="false">F51+F64</f>
        <v>-19725418</v>
      </c>
      <c r="G189" s="100" t="n">
        <f aca="false">G51+G64</f>
        <v>-19725418</v>
      </c>
      <c r="H189" s="100" t="n">
        <f aca="false">H51+H64</f>
        <v>-19725418</v>
      </c>
      <c r="I189" s="100" t="n">
        <f aca="false">I51+I64</f>
        <v>-9112277</v>
      </c>
      <c r="J189" s="100" t="n">
        <f aca="false">J51+J64</f>
        <v>-9112277</v>
      </c>
      <c r="K189" s="100" t="n">
        <f aca="false">K51+K64</f>
        <v>-9712277</v>
      </c>
      <c r="L189" s="100" t="n">
        <f aca="false">L51+L64</f>
        <v>-9312277</v>
      </c>
      <c r="M189" s="100" t="n">
        <f aca="false">M51+M64</f>
        <v>-9312277</v>
      </c>
      <c r="N189" s="100" t="n">
        <f aca="false">N51+N64</f>
        <v>-9212277</v>
      </c>
      <c r="O189" s="100" t="n">
        <f aca="false">O51+O64</f>
        <v>-9212277</v>
      </c>
      <c r="P189" s="100" t="n">
        <f aca="false">P51+P64</f>
        <v>-9212277</v>
      </c>
      <c r="Q189" s="100"/>
      <c r="S189" s="101" t="n">
        <f aca="false">SUM(E189:O189)</f>
        <v>-145387611</v>
      </c>
      <c r="W189" s="102"/>
    </row>
    <row r="190" s="6" customFormat="true" ht="18" hidden="false" customHeight="true" outlineLevel="0" collapsed="false">
      <c r="B190" s="7"/>
      <c r="C190" s="98" t="s">
        <v>180</v>
      </c>
      <c r="D190" s="99"/>
      <c r="E190" s="100" t="n">
        <f aca="false">E26+E33+E37</f>
        <v>0</v>
      </c>
      <c r="F190" s="100" t="n">
        <f aca="false">F26+F33+F37</f>
        <v>0</v>
      </c>
      <c r="G190" s="100" t="n">
        <f aca="false">G26+G33+G37</f>
        <v>0</v>
      </c>
      <c r="H190" s="100" t="n">
        <f aca="false">H26+H33+H37</f>
        <v>0</v>
      </c>
      <c r="I190" s="100" t="n">
        <f aca="false">I26+I33+I37</f>
        <v>0</v>
      </c>
      <c r="J190" s="100" t="n">
        <f aca="false">J26+J33+J37</f>
        <v>0</v>
      </c>
      <c r="K190" s="100" t="n">
        <f aca="false">K26+K33+K37</f>
        <v>0</v>
      </c>
      <c r="L190" s="100" t="n">
        <f aca="false">L26+L33+L37</f>
        <v>0</v>
      </c>
      <c r="M190" s="100" t="n">
        <f aca="false">M26+M33+M37</f>
        <v>0</v>
      </c>
      <c r="N190" s="100" t="n">
        <f aca="false">N26+N33+N37</f>
        <v>0</v>
      </c>
      <c r="O190" s="100" t="n">
        <f aca="false">O26+O33+O37</f>
        <v>-13086400</v>
      </c>
      <c r="P190" s="100" t="n">
        <f aca="false">P26+P33+P37</f>
        <v>-13086400</v>
      </c>
      <c r="Q190" s="100"/>
      <c r="S190" s="101" t="n">
        <f aca="false">SUM(E190:O190)</f>
        <v>-13086400</v>
      </c>
    </row>
    <row r="191" s="6" customFormat="true" ht="18" hidden="false" customHeight="true" outlineLevel="0" collapsed="false">
      <c r="B191" s="7"/>
      <c r="C191" s="98" t="s">
        <v>181</v>
      </c>
      <c r="D191" s="99"/>
      <c r="E191" s="100" t="n">
        <f aca="false">E188+E189+E190</f>
        <v>1974582</v>
      </c>
      <c r="F191" s="100" t="n">
        <f aca="false">F188+F189+F190</f>
        <v>5474582</v>
      </c>
      <c r="G191" s="100" t="n">
        <f aca="false">G188+G189+G190</f>
        <v>4474582</v>
      </c>
      <c r="H191" s="100" t="n">
        <f aca="false">H188+H189+H190</f>
        <v>4474582</v>
      </c>
      <c r="I191" s="100" t="n">
        <f aca="false">I188+I189+I190</f>
        <v>-6812277</v>
      </c>
      <c r="J191" s="100" t="n">
        <f aca="false">J188+J189+J190</f>
        <v>-6812277</v>
      </c>
      <c r="K191" s="100" t="n">
        <f aca="false">K188+K189+K190</f>
        <v>116112723</v>
      </c>
      <c r="L191" s="100" t="n">
        <f aca="false">L188+L189+L190</f>
        <v>-7012277</v>
      </c>
      <c r="M191" s="100" t="n">
        <f aca="false">M188+M189+M190</f>
        <v>-7012277</v>
      </c>
      <c r="N191" s="100" t="n">
        <f aca="false">N188+N189+N190</f>
        <v>5587723</v>
      </c>
      <c r="O191" s="100" t="n">
        <f aca="false">O188+O189+O190</f>
        <v>-14398677</v>
      </c>
      <c r="P191" s="100" t="n">
        <f aca="false">P188+P189+P190</f>
        <v>-14398677</v>
      </c>
      <c r="Q191" s="100"/>
      <c r="S191" s="101" t="n">
        <f aca="false">SUM(E191:O191)</f>
        <v>96050989</v>
      </c>
    </row>
    <row r="192" s="6" customFormat="true" ht="18.75" hidden="false" customHeight="true" outlineLevel="0" collapsed="false">
      <c r="B192" s="7"/>
      <c r="C192" s="98" t="s">
        <v>182</v>
      </c>
      <c r="D192" s="99"/>
      <c r="E192" s="100" t="n">
        <f aca="false">E84</f>
        <v>-8531739</v>
      </c>
      <c r="F192" s="100" t="n">
        <f aca="false">F84</f>
        <v>-8025000</v>
      </c>
      <c r="G192" s="100" t="n">
        <f aca="false">G84</f>
        <v>-8025000</v>
      </c>
      <c r="H192" s="100" t="n">
        <f aca="false">H84</f>
        <v>-8025000</v>
      </c>
      <c r="I192" s="100" t="n">
        <f aca="false">I84</f>
        <v>-8025000</v>
      </c>
      <c r="J192" s="100" t="n">
        <f aca="false">J84</f>
        <v>-8025000</v>
      </c>
      <c r="K192" s="100" t="n">
        <f aca="false">K84</f>
        <v>-8325000</v>
      </c>
      <c r="L192" s="100" t="n">
        <f aca="false">L84</f>
        <v>-8125000</v>
      </c>
      <c r="M192" s="100" t="n">
        <f aca="false">M84</f>
        <v>-8125000</v>
      </c>
      <c r="N192" s="100" t="n">
        <f aca="false">N84</f>
        <v>-8075000</v>
      </c>
      <c r="O192" s="100" t="n">
        <f aca="false">O84</f>
        <v>-8075000</v>
      </c>
      <c r="P192" s="100" t="n">
        <f aca="false">P84</f>
        <v>-8075000</v>
      </c>
      <c r="Q192" s="100"/>
      <c r="S192" s="101" t="n">
        <f aca="false">SUM(E192:O192)</f>
        <v>-89381739</v>
      </c>
    </row>
    <row r="193" s="6" customFormat="true" ht="18" hidden="false" customHeight="true" outlineLevel="0" collapsed="false">
      <c r="B193" s="7"/>
      <c r="C193" s="98" t="s">
        <v>183</v>
      </c>
      <c r="D193" s="99"/>
      <c r="E193" s="100" t="n">
        <f aca="false">E152-E84</f>
        <v>-5493576</v>
      </c>
      <c r="F193" s="100" t="n">
        <f aca="false">F152-F84</f>
        <v>-11323627</v>
      </c>
      <c r="G193" s="100" t="n">
        <f aca="false">G152-G84</f>
        <v>-7015261.28</v>
      </c>
      <c r="H193" s="100" t="n">
        <f aca="false">H152-H84</f>
        <v>-7872245.73</v>
      </c>
      <c r="I193" s="100" t="n">
        <f aca="false">I152-I84</f>
        <v>-8876955.73</v>
      </c>
      <c r="J193" s="100" t="n">
        <f aca="false">J152-J84</f>
        <v>-7326955.73</v>
      </c>
      <c r="K193" s="100" t="n">
        <f aca="false">K152-K84</f>
        <v>-5109706</v>
      </c>
      <c r="L193" s="100" t="n">
        <f aca="false">L152-L84</f>
        <v>-1600000</v>
      </c>
      <c r="M193" s="100" t="n">
        <f aca="false">M152-M84</f>
        <v>-1600000</v>
      </c>
      <c r="N193" s="100" t="n">
        <f aca="false">N152-N84</f>
        <v>-1600000</v>
      </c>
      <c r="O193" s="100" t="n">
        <f aca="false">O152-O84</f>
        <v>-2200000</v>
      </c>
      <c r="P193" s="100" t="n">
        <f aca="false">P152-P84</f>
        <v>-2200000</v>
      </c>
      <c r="Q193" s="100"/>
      <c r="S193" s="101" t="n">
        <f aca="false">SUM(E193:O193)</f>
        <v>-60018327.47</v>
      </c>
    </row>
    <row r="194" s="6" customFormat="true" ht="18" hidden="false" customHeight="true" outlineLevel="0" collapsed="false">
      <c r="B194" s="7"/>
      <c r="C194" s="98" t="s">
        <v>184</v>
      </c>
      <c r="D194" s="99"/>
      <c r="E194" s="100" t="n">
        <f aca="false">E154</f>
        <v>-12050733</v>
      </c>
      <c r="F194" s="100" t="n">
        <f aca="false">F154</f>
        <v>-13874045</v>
      </c>
      <c r="G194" s="100" t="n">
        <f aca="false">G154</f>
        <v>-10565679.28</v>
      </c>
      <c r="H194" s="100" t="n">
        <f aca="false">H154</f>
        <v>-11422663.73</v>
      </c>
      <c r="I194" s="100" t="n">
        <f aca="false">I154</f>
        <v>-23714232.73</v>
      </c>
      <c r="J194" s="100" t="n">
        <f aca="false">J154</f>
        <v>-22164232.73</v>
      </c>
      <c r="K194" s="100" t="n">
        <f aca="false">K154</f>
        <v>102678017</v>
      </c>
      <c r="L194" s="100" t="n">
        <f aca="false">L154</f>
        <v>-16737277</v>
      </c>
      <c r="M194" s="100" t="n">
        <f aca="false">M154</f>
        <v>-16737277</v>
      </c>
      <c r="N194" s="100" t="n">
        <f aca="false">N154</f>
        <v>-4087277</v>
      </c>
      <c r="O194" s="100" t="n">
        <f aca="false">O154</f>
        <v>-24673677</v>
      </c>
      <c r="P194" s="100" t="n">
        <f aca="false">P154</f>
        <v>-24673677</v>
      </c>
      <c r="Q194" s="100"/>
      <c r="S194" s="101" t="n">
        <f aca="false">SUM(E194:O194)</f>
        <v>-53349077.47</v>
      </c>
    </row>
    <row r="195" s="6" customFormat="true" ht="18" hidden="false" customHeight="true" outlineLevel="0" collapsed="false">
      <c r="B195" s="7"/>
      <c r="C195" s="98" t="s">
        <v>185</v>
      </c>
      <c r="D195" s="99"/>
      <c r="E195" s="100" t="n">
        <f aca="false">E178</f>
        <v>-55681.5</v>
      </c>
      <c r="F195" s="100" t="n">
        <f aca="false">F178</f>
        <v>-102283.92</v>
      </c>
      <c r="G195" s="100" t="n">
        <f aca="false">G178</f>
        <v>-85100.03</v>
      </c>
      <c r="H195" s="100" t="n">
        <f aca="false">H178</f>
        <v>-61973.78</v>
      </c>
      <c r="I195" s="100" t="n">
        <f aca="false">I178</f>
        <v>-47869.38</v>
      </c>
      <c r="J195" s="100" t="n">
        <f aca="false">J178</f>
        <v>-82380.31</v>
      </c>
      <c r="K195" s="100" t="n">
        <f aca="false">K178</f>
        <v>-49511.94</v>
      </c>
      <c r="L195" s="100" t="n">
        <f aca="false">L178</f>
        <v>-58944.3</v>
      </c>
      <c r="M195" s="100" t="n">
        <f aca="false">M178</f>
        <v>-59877.85</v>
      </c>
      <c r="N195" s="100" t="n">
        <f aca="false">N178</f>
        <v>-84165.21</v>
      </c>
      <c r="O195" s="100" t="n">
        <f aca="false">O178</f>
        <v>-98469.79</v>
      </c>
      <c r="P195" s="100" t="n">
        <f aca="false">P178</f>
        <v>-98469.79</v>
      </c>
      <c r="Q195" s="100"/>
      <c r="S195" s="101" t="n">
        <f aca="false">SUM(E195:O195)</f>
        <v>-786258.01</v>
      </c>
    </row>
    <row r="196" s="6" customFormat="true" ht="18" hidden="false" customHeight="true" outlineLevel="0" collapsed="false">
      <c r="B196" s="7"/>
      <c r="C196" s="98" t="s">
        <v>186</v>
      </c>
      <c r="D196" s="99"/>
      <c r="E196" s="100" t="n">
        <f aca="false">E180</f>
        <v>-12106414.5</v>
      </c>
      <c r="F196" s="100" t="n">
        <f aca="false">F180</f>
        <v>-13976328.92</v>
      </c>
      <c r="G196" s="100" t="n">
        <f aca="false">G180</f>
        <v>-10650779.31</v>
      </c>
      <c r="H196" s="100" t="n">
        <f aca="false">H180</f>
        <v>-11484637.51</v>
      </c>
      <c r="I196" s="100" t="n">
        <f aca="false">I180</f>
        <v>-23762102.11</v>
      </c>
      <c r="J196" s="100" t="n">
        <f aca="false">J180</f>
        <v>-22246613.04</v>
      </c>
      <c r="K196" s="100" t="n">
        <f aca="false">K180</f>
        <v>102628505.06</v>
      </c>
      <c r="L196" s="100" t="n">
        <f aca="false">L180</f>
        <v>-16796221.3</v>
      </c>
      <c r="M196" s="100" t="n">
        <f aca="false">M180</f>
        <v>-16797154.85</v>
      </c>
      <c r="N196" s="100" t="n">
        <f aca="false">N180</f>
        <v>-4171442.21</v>
      </c>
      <c r="O196" s="100" t="n">
        <f aca="false">O180</f>
        <v>-24772146.79</v>
      </c>
      <c r="P196" s="100" t="n">
        <f aca="false">P180</f>
        <v>-24772146.79</v>
      </c>
      <c r="Q196" s="100"/>
      <c r="S196" s="101" t="n">
        <f aca="false">SUM(E196:O196)</f>
        <v>-54135335.48</v>
      </c>
    </row>
    <row r="197" s="6" customFormat="true" ht="18" hidden="false" customHeight="true" outlineLevel="0" collapsed="false">
      <c r="B197" s="7"/>
      <c r="C197" s="98" t="s">
        <v>187</v>
      </c>
      <c r="D197" s="99"/>
      <c r="E197" s="100" t="n">
        <f aca="false">E183+E184</f>
        <v>0</v>
      </c>
      <c r="F197" s="100" t="n">
        <f aca="false">F183+F184</f>
        <v>0</v>
      </c>
      <c r="G197" s="100" t="n">
        <f aca="false">G183+G184</f>
        <v>0</v>
      </c>
      <c r="H197" s="100" t="n">
        <f aca="false">H183+H184</f>
        <v>0</v>
      </c>
      <c r="I197" s="100" t="n">
        <f aca="false">I183+I184</f>
        <v>0</v>
      </c>
      <c r="J197" s="100" t="n">
        <f aca="false">J183+J184</f>
        <v>0</v>
      </c>
      <c r="K197" s="100" t="n">
        <f aca="false">K183+K184</f>
        <v>0</v>
      </c>
      <c r="L197" s="100" t="n">
        <f aca="false">L183+L184</f>
        <v>0</v>
      </c>
      <c r="M197" s="100" t="n">
        <f aca="false">M183+M184</f>
        <v>0</v>
      </c>
      <c r="N197" s="100" t="n">
        <f aca="false">N183+N184</f>
        <v>0</v>
      </c>
      <c r="O197" s="100" t="n">
        <f aca="false">O183+O184</f>
        <v>0</v>
      </c>
      <c r="P197" s="100" t="n">
        <f aca="false">P183+P184</f>
        <v>0</v>
      </c>
      <c r="Q197" s="100"/>
      <c r="S197" s="101" t="n">
        <f aca="false">SUM(E197:O197)</f>
        <v>0</v>
      </c>
    </row>
    <row r="198" s="6" customFormat="true" ht="18" hidden="false" customHeight="true" outlineLevel="0" collapsed="false">
      <c r="B198" s="7"/>
      <c r="C198" s="98" t="s">
        <v>188</v>
      </c>
      <c r="D198" s="99"/>
      <c r="E198" s="100" t="n">
        <f aca="false">E186</f>
        <v>-12106414.5</v>
      </c>
      <c r="F198" s="100" t="n">
        <f aca="false">F186</f>
        <v>-13976328.92</v>
      </c>
      <c r="G198" s="100" t="n">
        <f aca="false">G186</f>
        <v>-10650779.31</v>
      </c>
      <c r="H198" s="100" t="n">
        <f aca="false">H186</f>
        <v>-11484637.51</v>
      </c>
      <c r="I198" s="100" t="n">
        <f aca="false">I186</f>
        <v>-23762102.11</v>
      </c>
      <c r="J198" s="100" t="n">
        <f aca="false">J186</f>
        <v>-22246613.04</v>
      </c>
      <c r="K198" s="100" t="n">
        <f aca="false">K186</f>
        <v>102628505.06</v>
      </c>
      <c r="L198" s="100" t="n">
        <f aca="false">L186</f>
        <v>-16796221.3</v>
      </c>
      <c r="M198" s="100" t="n">
        <f aca="false">M186</f>
        <v>-16797154.85</v>
      </c>
      <c r="N198" s="100" t="n">
        <f aca="false">N186</f>
        <v>-4171442.21</v>
      </c>
      <c r="O198" s="100" t="n">
        <f aca="false">O186</f>
        <v>-24772146.79</v>
      </c>
      <c r="P198" s="100" t="n">
        <f aca="false">P186</f>
        <v>-24772146.79</v>
      </c>
      <c r="Q198" s="100"/>
      <c r="S198" s="101" t="n">
        <f aca="false">SUM(E198:O198)</f>
        <v>-54135335.48</v>
      </c>
      <c r="Y198" s="71"/>
    </row>
    <row r="199" s="6" customFormat="true" ht="8.25" hidden="false" customHeight="true" outlineLevel="0" collapsed="false">
      <c r="B199" s="7"/>
      <c r="D199" s="99"/>
      <c r="S199" s="45"/>
    </row>
    <row r="200" customFormat="false" ht="12.75" hidden="false" customHeight="true" outlineLevel="0" collapsed="false">
      <c r="C200" s="103" t="s">
        <v>189</v>
      </c>
      <c r="E200" s="104" t="n">
        <f aca="false">IFERROR((E191/E188),0)</f>
        <v>0.0851112931034483</v>
      </c>
      <c r="F200" s="104" t="n">
        <f aca="false">IFERROR((F191/F188),0)</f>
        <v>0.217245317460317</v>
      </c>
      <c r="G200" s="104" t="n">
        <f aca="false">IFERROR((G191/G188),0)</f>
        <v>0.184900082644628</v>
      </c>
      <c r="H200" s="104" t="n">
        <f aca="false">IFERROR((H191/H188),0)</f>
        <v>0.184900082644628</v>
      </c>
      <c r="I200" s="104" t="n">
        <f aca="false">IFERROR((I191/I188),0)</f>
        <v>-2.96185956521739</v>
      </c>
      <c r="J200" s="104" t="n">
        <f aca="false">IFERROR((J191/J188),0)</f>
        <v>-2.96185956521739</v>
      </c>
      <c r="K200" s="104" t="n">
        <f aca="false">IFERROR((K191/K188),0)</f>
        <v>0.922811229882774</v>
      </c>
      <c r="L200" s="104" t="n">
        <f aca="false">IFERROR((L191/L188),0)</f>
        <v>-3.04881608695652</v>
      </c>
      <c r="M200" s="104" t="n">
        <f aca="false">IFERROR((M191/M188),0)</f>
        <v>-3.04881608695652</v>
      </c>
      <c r="N200" s="104" t="n">
        <f aca="false">IFERROR((N191/N188),0)</f>
        <v>0.377548851351351</v>
      </c>
      <c r="O200" s="104" t="n">
        <f aca="false">IFERROR((O191/O188),0)</f>
        <v>-1.82261734177215</v>
      </c>
      <c r="P200" s="104" t="n">
        <f aca="false">IFERROR((P191/P188),0)</f>
        <v>-1.82261734177215</v>
      </c>
      <c r="Q200" s="104"/>
      <c r="R200" s="6"/>
      <c r="S200" s="105" t="n">
        <f aca="false">IFERROR((S191/S188),0)</f>
        <v>0.377373495727335</v>
      </c>
      <c r="T200" s="6"/>
      <c r="U200" s="6"/>
    </row>
    <row r="201" customFormat="false" ht="12.75" hidden="false" customHeight="true" outlineLevel="0" collapsed="false">
      <c r="C201" s="103" t="s">
        <v>190</v>
      </c>
      <c r="E201" s="104" t="n">
        <f aca="false">IFERROR((E194/E188),0)</f>
        <v>-0.519428146551724</v>
      </c>
      <c r="F201" s="104" t="n">
        <f aca="false">IFERROR((F194/F188),0)</f>
        <v>-0.550557341269841</v>
      </c>
      <c r="G201" s="104" t="n">
        <f aca="false">IFERROR((G194/G188),0)</f>
        <v>-0.436598317355372</v>
      </c>
      <c r="H201" s="104" t="n">
        <f aca="false">IFERROR((H194/H188),0)</f>
        <v>-0.472010897933884</v>
      </c>
      <c r="I201" s="104" t="n">
        <f aca="false">IFERROR((I194/I188),0)</f>
        <v>-10.3105359695652</v>
      </c>
      <c r="J201" s="104" t="n">
        <f aca="false">IFERROR((J194/J188),0)</f>
        <v>-9.63662292608696</v>
      </c>
      <c r="K201" s="104" t="n">
        <f aca="false">IFERROR((K194/K188),0)</f>
        <v>0.816038283330022</v>
      </c>
      <c r="L201" s="104" t="n">
        <f aca="false">IFERROR((L194/L188),0)</f>
        <v>-7.27707695652174</v>
      </c>
      <c r="M201" s="104" t="n">
        <f aca="false">IFERROR((M194/M188),0)</f>
        <v>-7.27707695652174</v>
      </c>
      <c r="N201" s="104" t="n">
        <f aca="false">IFERROR((N194/N188),0)</f>
        <v>-0.276167364864865</v>
      </c>
      <c r="O201" s="104" t="n">
        <f aca="false">IFERROR((O194/O188),0)</f>
        <v>-3.12325025316456</v>
      </c>
      <c r="P201" s="104" t="n">
        <f aca="false">IFERROR((P194/P188),0)</f>
        <v>-3.12325025316456</v>
      </c>
      <c r="Q201" s="104"/>
      <c r="R201" s="6"/>
      <c r="S201" s="105" t="n">
        <f aca="false">IFERROR((S194/S188),0)</f>
        <v>-0.209602504547687</v>
      </c>
      <c r="T201" s="6"/>
      <c r="U201" s="6"/>
    </row>
    <row r="202" customFormat="false" ht="12.75" hidden="false" customHeight="true" outlineLevel="0" collapsed="false">
      <c r="C202" s="103" t="s">
        <v>191</v>
      </c>
      <c r="E202" s="104" t="n">
        <f aca="false">IFERROR((E198/E188),0)</f>
        <v>-0.521828211206897</v>
      </c>
      <c r="F202" s="104" t="n">
        <f aca="false">IFERROR((F198/F188),0)</f>
        <v>-0.554616226984127</v>
      </c>
      <c r="G202" s="104" t="n">
        <f aca="false">IFERROR((G198/G188),0)</f>
        <v>-0.440114847520661</v>
      </c>
      <c r="H202" s="104" t="n">
        <f aca="false">IFERROR((H198/H188),0)</f>
        <v>-0.474571797933884</v>
      </c>
      <c r="I202" s="104" t="n">
        <f aca="false">IFERROR((I198/I188),0)</f>
        <v>-10.3313487434783</v>
      </c>
      <c r="J202" s="104" t="n">
        <f aca="false">IFERROR((J198/J188),0)</f>
        <v>-9.67244045217391</v>
      </c>
      <c r="K202" s="104" t="n">
        <f aca="false">IFERROR((K198/K188),0)</f>
        <v>0.815644784899662</v>
      </c>
      <c r="L202" s="104" t="n">
        <f aca="false">IFERROR((L198/L188),0)</f>
        <v>-7.30270491304348</v>
      </c>
      <c r="M202" s="104" t="n">
        <f aca="false">IFERROR((M198/M188),0)</f>
        <v>-7.30311080434783</v>
      </c>
      <c r="N202" s="104" t="n">
        <f aca="false">IFERROR((N198/N188),0)</f>
        <v>-0.281854203378378</v>
      </c>
      <c r="O202" s="104" t="n">
        <f aca="false">IFERROR((O198/O188),0)</f>
        <v>-3.1357147835443</v>
      </c>
      <c r="P202" s="104" t="n">
        <f aca="false">IFERROR((P198/P188),0)</f>
        <v>-3.1357147835443</v>
      </c>
      <c r="Q202" s="104"/>
      <c r="R202" s="6"/>
      <c r="S202" s="105" t="n">
        <f aca="false">IFERROR((S198/S188),0)</f>
        <v>-0.212691623534034</v>
      </c>
      <c r="T202" s="6"/>
      <c r="U202" s="6"/>
    </row>
    <row r="203" customFormat="false" ht="12.75" hidden="false" customHeight="false" outlineLevel="0" collapsed="false"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6"/>
      <c r="T203" s="6"/>
      <c r="U203" s="6"/>
    </row>
    <row r="204" customFormat="false" ht="12.75" hidden="false" customHeight="false" outlineLevel="0" collapsed="false"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T204" s="6"/>
      <c r="U204" s="6"/>
    </row>
    <row r="205" s="107" customFormat="true" ht="12.75" hidden="false" customHeight="false" outlineLevel="0" collapsed="false">
      <c r="B205" s="108"/>
      <c r="D205" s="109"/>
      <c r="E205" s="110"/>
      <c r="F205" s="110"/>
      <c r="G205" s="110"/>
      <c r="H205" s="110"/>
      <c r="S205" s="111"/>
      <c r="T205" s="112"/>
    </row>
    <row r="206" customFormat="false" ht="12.75" hidden="false" customHeight="false" outlineLevel="0" collapsed="false"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6"/>
      <c r="T206" s="27"/>
      <c r="U206" s="106"/>
    </row>
    <row r="207" customFormat="false" ht="12.75" hidden="false" customHeight="false" outlineLevel="0" collapsed="false">
      <c r="E207" s="106"/>
      <c r="F207" s="102"/>
      <c r="H207" s="102"/>
      <c r="T207" s="27"/>
    </row>
    <row r="208" customFormat="false" ht="12.75" hidden="false" customHeight="false" outlineLevel="0" collapsed="false">
      <c r="E208" s="106"/>
      <c r="F208" s="106"/>
      <c r="H208" s="106"/>
      <c r="K208" s="106"/>
      <c r="T208" s="27"/>
    </row>
    <row r="209" customFormat="false" ht="12.75" hidden="false" customHeight="false" outlineLevel="0" collapsed="false">
      <c r="F209" s="106"/>
      <c r="T209" s="27"/>
    </row>
    <row r="210" customFormat="false" ht="12.75" hidden="false" customHeight="false" outlineLevel="0" collapsed="false">
      <c r="T210" s="27"/>
    </row>
    <row r="211" customFormat="false" ht="12.75" hidden="false" customHeight="false" outlineLevel="0" collapsed="false">
      <c r="T211" s="27"/>
    </row>
    <row r="212" customFormat="false" ht="12.75" hidden="false" customHeight="false" outlineLevel="0" collapsed="false">
      <c r="T212" s="27"/>
    </row>
    <row r="213" customFormat="false" ht="12.75" hidden="false" customHeight="false" outlineLevel="0" collapsed="false">
      <c r="T213" s="27"/>
    </row>
    <row r="214" customFormat="false" ht="12.75" hidden="false" customHeight="false" outlineLevel="0" collapsed="false">
      <c r="T214" s="27"/>
    </row>
    <row r="215" customFormat="false" ht="12.75" hidden="false" customHeight="false" outlineLevel="0" collapsed="false">
      <c r="T215" s="27"/>
    </row>
    <row r="216" customFormat="false" ht="12.75" hidden="false" customHeight="false" outlineLevel="0" collapsed="false">
      <c r="T216" s="27"/>
    </row>
    <row r="217" customFormat="false" ht="12.75" hidden="false" customHeight="false" outlineLevel="0" collapsed="false">
      <c r="T217" s="27"/>
    </row>
    <row r="218" customFormat="false" ht="12.75" hidden="false" customHeight="false" outlineLevel="0" collapsed="false">
      <c r="T218" s="27"/>
    </row>
    <row r="219" customFormat="false" ht="12.75" hidden="false" customHeight="false" outlineLevel="0" collapsed="false">
      <c r="T219" s="27"/>
    </row>
    <row r="220" customFormat="false" ht="12.75" hidden="false" customHeight="false" outlineLevel="0" collapsed="false">
      <c r="T220" s="27"/>
    </row>
    <row r="221" customFormat="false" ht="12.75" hidden="false" customHeight="false" outlineLevel="0" collapsed="false">
      <c r="T221" s="27"/>
    </row>
    <row r="222" customFormat="false" ht="12.75" hidden="false" customHeight="false" outlineLevel="0" collapsed="false">
      <c r="T222" s="27"/>
    </row>
    <row r="223" customFormat="false" ht="12.75" hidden="false" customHeight="false" outlineLevel="0" collapsed="false">
      <c r="T223" s="27"/>
    </row>
    <row r="224" customFormat="false" ht="12.75" hidden="false" customHeight="false" outlineLevel="0" collapsed="false">
      <c r="T224" s="27"/>
    </row>
    <row r="225" customFormat="false" ht="12.75" hidden="false" customHeight="false" outlineLevel="0" collapsed="false">
      <c r="T225" s="27"/>
    </row>
    <row r="226" customFormat="false" ht="12.75" hidden="false" customHeight="false" outlineLevel="0" collapsed="false">
      <c r="T226" s="27"/>
    </row>
    <row r="227" customFormat="false" ht="12.75" hidden="false" customHeight="false" outlineLevel="0" collapsed="false">
      <c r="T227" s="27"/>
    </row>
    <row r="228" customFormat="false" ht="12.75" hidden="false" customHeight="false" outlineLevel="0" collapsed="false">
      <c r="T228" s="27"/>
    </row>
    <row r="229" customFormat="false" ht="12.75" hidden="false" customHeight="false" outlineLevel="0" collapsed="false">
      <c r="T229" s="27"/>
    </row>
    <row r="230" customFormat="false" ht="12.75" hidden="false" customHeight="false" outlineLevel="0" collapsed="false">
      <c r="T230" s="27"/>
    </row>
    <row r="231" customFormat="false" ht="12.75" hidden="false" customHeight="false" outlineLevel="0" collapsed="false">
      <c r="T231" s="27"/>
    </row>
    <row r="232" customFormat="false" ht="12.75" hidden="false" customHeight="false" outlineLevel="0" collapsed="false">
      <c r="T232" s="27"/>
    </row>
    <row r="233" customFormat="false" ht="12.75" hidden="false" customHeight="false" outlineLevel="0" collapsed="false">
      <c r="T233" s="27"/>
    </row>
    <row r="234" customFormat="false" ht="12.75" hidden="false" customHeight="false" outlineLevel="0" collapsed="false">
      <c r="T234" s="27"/>
    </row>
    <row r="235" customFormat="false" ht="12.75" hidden="false" customHeight="false" outlineLevel="0" collapsed="false">
      <c r="T235" s="27"/>
    </row>
    <row r="236" customFormat="false" ht="12.75" hidden="false" customHeight="false" outlineLevel="0" collapsed="false">
      <c r="T236" s="27"/>
    </row>
    <row r="237" customFormat="false" ht="12.75" hidden="false" customHeight="false" outlineLevel="0" collapsed="false">
      <c r="T237" s="27"/>
    </row>
    <row r="238" customFormat="false" ht="12.75" hidden="false" customHeight="false" outlineLevel="0" collapsed="false">
      <c r="T238" s="27"/>
    </row>
    <row r="239" customFormat="false" ht="12.75" hidden="false" customHeight="false" outlineLevel="0" collapsed="false">
      <c r="T239" s="27"/>
    </row>
    <row r="240" customFormat="false" ht="12.75" hidden="false" customHeight="false" outlineLevel="0" collapsed="false">
      <c r="T240" s="27"/>
    </row>
    <row r="241" customFormat="false" ht="12.75" hidden="false" customHeight="false" outlineLevel="0" collapsed="false">
      <c r="T241" s="27"/>
    </row>
    <row r="242" customFormat="false" ht="12.75" hidden="false" customHeight="false" outlineLevel="0" collapsed="false">
      <c r="T242" s="27"/>
    </row>
    <row r="243" customFormat="false" ht="12.75" hidden="false" customHeight="false" outlineLevel="0" collapsed="false">
      <c r="T243" s="27"/>
    </row>
    <row r="244" customFormat="false" ht="12.75" hidden="false" customHeight="false" outlineLevel="0" collapsed="false">
      <c r="T244" s="27"/>
    </row>
    <row r="245" customFormat="false" ht="12.75" hidden="false" customHeight="false" outlineLevel="0" collapsed="false">
      <c r="T245" s="27"/>
    </row>
    <row r="246" customFormat="false" ht="12.75" hidden="false" customHeight="false" outlineLevel="0" collapsed="false">
      <c r="T246" s="27"/>
    </row>
    <row r="247" customFormat="false" ht="12.75" hidden="false" customHeight="false" outlineLevel="0" collapsed="false">
      <c r="T247" s="27"/>
    </row>
    <row r="248" customFormat="false" ht="12.75" hidden="false" customHeight="false" outlineLevel="0" collapsed="false">
      <c r="T248" s="27"/>
    </row>
    <row r="249" customFormat="false" ht="12.75" hidden="false" customHeight="false" outlineLevel="0" collapsed="false">
      <c r="T249" s="27"/>
    </row>
    <row r="250" customFormat="false" ht="12.75" hidden="false" customHeight="false" outlineLevel="0" collapsed="false">
      <c r="T250" s="27"/>
    </row>
    <row r="251" customFormat="false" ht="12.75" hidden="false" customHeight="false" outlineLevel="0" collapsed="false">
      <c r="T251" s="27"/>
    </row>
    <row r="252" customFormat="false" ht="12.75" hidden="false" customHeight="false" outlineLevel="0" collapsed="false">
      <c r="T252" s="27"/>
    </row>
    <row r="253" customFormat="false" ht="12.75" hidden="false" customHeight="false" outlineLevel="0" collapsed="false">
      <c r="T253" s="27"/>
    </row>
    <row r="254" customFormat="false" ht="12.75" hidden="false" customHeight="false" outlineLevel="0" collapsed="false">
      <c r="T254" s="27"/>
    </row>
    <row r="255" customFormat="false" ht="12.75" hidden="false" customHeight="false" outlineLevel="0" collapsed="false">
      <c r="T255" s="27"/>
    </row>
    <row r="256" customFormat="false" ht="12.75" hidden="false" customHeight="false" outlineLevel="0" collapsed="false">
      <c r="T256" s="27"/>
    </row>
    <row r="257" customFormat="false" ht="12.75" hidden="false" customHeight="false" outlineLevel="0" collapsed="false">
      <c r="T257" s="27"/>
    </row>
    <row r="258" customFormat="false" ht="12.75" hidden="false" customHeight="false" outlineLevel="0" collapsed="false">
      <c r="T258" s="27"/>
    </row>
    <row r="259" customFormat="false" ht="12.75" hidden="false" customHeight="false" outlineLevel="0" collapsed="false">
      <c r="T259" s="27"/>
    </row>
    <row r="260" customFormat="false" ht="12.75" hidden="false" customHeight="false" outlineLevel="0" collapsed="false">
      <c r="T260" s="27"/>
    </row>
    <row r="439" customFormat="false" ht="12.75" hidden="false" customHeight="false" outlineLevel="0" collapsed="false">
      <c r="E439" s="1" t="s">
        <v>36</v>
      </c>
    </row>
  </sheetData>
  <mergeCells count="4">
    <mergeCell ref="E2:L2"/>
    <mergeCell ref="E3:L3"/>
    <mergeCell ref="E4:L4"/>
    <mergeCell ref="E5:L5"/>
  </mergeCells>
  <printOptions headings="false" gridLines="false" gridLinesSet="true" horizontalCentered="false" verticalCentered="false"/>
  <pageMargins left="0.118055555555556" right="0.118055555555556" top="0.157638888888889" bottom="0.157638888888889" header="0.511811023622047" footer="0.511811023622047"/>
  <pageSetup paperSize="9" scale="8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2025-12-08T09:41:23Z</dcterms:created>
  <dc:creator>Salsabila Husnul Fatimah</dc:creator>
  <dc:description/>
  <dc:language>en-US</dc:language>
  <cp:lastModifiedBy/>
  <dcterms:modified xsi:type="dcterms:W3CDTF">2026-01-14T09:45:21Z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