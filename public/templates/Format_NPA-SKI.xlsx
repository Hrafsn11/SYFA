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laragon\www\WorkSpace\syifa\public\templates\"/>
    </mc:Choice>
  </mc:AlternateContent>
  <xr:revisionPtr revIDLastSave="0" documentId="8_{8288C64B-5EBB-41F0-B85C-36C25F7FC2B5}" xr6:coauthVersionLast="47" xr6:coauthVersionMax="47" xr10:uidLastSave="{00000000-0000-0000-0000-000000000000}"/>
  <bookViews>
    <workbookView xWindow="-108" yWindow="-108" windowWidth="23256" windowHeight="13176" firstSheet="4" activeTab="4" xr2:uid="{0D75EACD-4A0F-468B-B5F5-E43A47FC2B11}"/>
  </bookViews>
  <sheets>
    <sheet name="Overview Project" sheetId="3" r:id="rId1"/>
    <sheet name="Profil Perusahaan Mitra" sheetId="1" r:id="rId2"/>
    <sheet name="Analisis Keuangan" sheetId="4" r:id="rId3"/>
    <sheet name="Analisis Risiko" sheetId="8" r:id="rId4"/>
    <sheet name="Dokumen Pendukung" sheetId="7" r:id="rId5"/>
    <sheet name="List NPA" sheetId="9"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9" l="1"/>
  <c r="F3" i="9"/>
  <c r="J10" i="4"/>
  <c r="K10" i="4"/>
  <c r="L10" i="4"/>
  <c r="K15" i="4"/>
  <c r="L15" i="4"/>
  <c r="J16" i="4"/>
  <c r="K16" i="4"/>
  <c r="L16" i="4"/>
  <c r="J18" i="4"/>
  <c r="K18" i="4"/>
  <c r="L18" i="4"/>
  <c r="J20" i="4"/>
  <c r="K4" i="4" s="1"/>
  <c r="K20" i="4"/>
  <c r="L4" i="4" s="1"/>
  <c r="L20" i="4"/>
  <c r="F20" i="4"/>
  <c r="F19" i="4"/>
  <c r="F18" i="4"/>
  <c r="F17" i="4"/>
  <c r="F16" i="4"/>
  <c r="F15" i="4"/>
  <c r="F14" i="4"/>
  <c r="F13" i="4"/>
  <c r="F12" i="4"/>
  <c r="F11" i="4"/>
  <c r="F21" i="4" s="1"/>
  <c r="D39" i="4" s="1"/>
  <c r="F35" i="4"/>
  <c r="F34" i="4"/>
  <c r="F33" i="4"/>
  <c r="F32" i="4"/>
  <c r="F31" i="4"/>
  <c r="F30" i="4"/>
  <c r="F29" i="4"/>
  <c r="F28" i="4"/>
  <c r="F27" i="4"/>
  <c r="F26" i="4"/>
  <c r="F36" i="4" s="1"/>
  <c r="D38" i="4" s="1"/>
  <c r="D40" i="4" l="1"/>
  <c r="D41" i="4" s="1"/>
</calcChain>
</file>

<file path=xl/sharedStrings.xml><?xml version="1.0" encoding="utf-8"?>
<sst xmlns="http://schemas.openxmlformats.org/spreadsheetml/2006/main" count="141" uniqueCount="110">
  <si>
    <t>Overview Project</t>
  </si>
  <si>
    <t>Nama Project</t>
  </si>
  <si>
    <t>:</t>
  </si>
  <si>
    <t>Sel Bisnis Pemilik Project</t>
  </si>
  <si>
    <t>Lokasi Pelaksanaan</t>
  </si>
  <si>
    <t>Estimasi Durasi Project</t>
  </si>
  <si>
    <t>Nilai Project</t>
  </si>
  <si>
    <t>Project Manager</t>
  </si>
  <si>
    <t>Anggota Tim Project</t>
  </si>
  <si>
    <t>Pihak Eksternal Terkait</t>
  </si>
  <si>
    <t>Bentuk Kerja Sama</t>
  </si>
  <si>
    <t>Latar Belakang Project</t>
  </si>
  <si>
    <t>Tujuan/Output Project</t>
  </si>
  <si>
    <t>Project Timeline</t>
  </si>
  <si>
    <t>Tahapan</t>
  </si>
  <si>
    <t>Januari</t>
  </si>
  <si>
    <t>Februari</t>
  </si>
  <si>
    <t>Maret</t>
  </si>
  <si>
    <t>Profil Perusahaan Mitra / Vendor yang Diusulkan</t>
  </si>
  <si>
    <t xml:space="preserve">Nama Perusahaan </t>
  </si>
  <si>
    <t>Nama Badan Usaha</t>
  </si>
  <si>
    <t>Nama Owner</t>
  </si>
  <si>
    <t>Nama Direktur</t>
  </si>
  <si>
    <t>Nama PIC</t>
  </si>
  <si>
    <t>Kontak Direktur</t>
  </si>
  <si>
    <t>Kontak PIC</t>
  </si>
  <si>
    <t>Link Company Profile</t>
  </si>
  <si>
    <t>Deskripsi Perusahaan</t>
  </si>
  <si>
    <t>Project Client/Customers</t>
  </si>
  <si>
    <t>Term of Payment (TOP)</t>
  </si>
  <si>
    <t>Proyeksi Arus Kas</t>
  </si>
  <si>
    <t>Skema Pembayaran:</t>
  </si>
  <si>
    <t>Jan</t>
  </si>
  <si>
    <t>Feb</t>
  </si>
  <si>
    <t>Mar</t>
  </si>
  <si>
    <t>Term of Payment (TOP):</t>
  </si>
  <si>
    <t>Beginning Balance</t>
  </si>
  <si>
    <t>Skema BAST / Tukar Faktur:</t>
  </si>
  <si>
    <t>Tanggal BAST / Tukar Fatur:</t>
  </si>
  <si>
    <t>Cash-In</t>
  </si>
  <si>
    <t>Revenue dari Client</t>
  </si>
  <si>
    <t>Rencana Anggaran Biaya</t>
  </si>
  <si>
    <t>Pinjaman Modal Project</t>
  </si>
  <si>
    <t>No</t>
  </si>
  <si>
    <t>Komponen</t>
  </si>
  <si>
    <t>Biaya Project</t>
  </si>
  <si>
    <t>Kuantitas</t>
  </si>
  <si>
    <t>Total Biaya Project</t>
  </si>
  <si>
    <t>Total Cash-In</t>
  </si>
  <si>
    <t>Cash-Out</t>
  </si>
  <si>
    <t>Biaya Operasional</t>
  </si>
  <si>
    <t>Pengembalian Pinjaman</t>
  </si>
  <si>
    <t>Pengembalian Bagi Hasil Pinjaman</t>
  </si>
  <si>
    <t>Total Cash-Out</t>
  </si>
  <si>
    <t>Surplus/Defisit</t>
  </si>
  <si>
    <t>Ending Balance</t>
  </si>
  <si>
    <t>Total</t>
  </si>
  <si>
    <t>Harga Pokok Penjualan</t>
  </si>
  <si>
    <t>Harga Jual</t>
  </si>
  <si>
    <t>Total Harga Jual</t>
  </si>
  <si>
    <t>Total Penjualan</t>
  </si>
  <si>
    <t>Gross Margin</t>
  </si>
  <si>
    <t>% Gross Margin</t>
  </si>
  <si>
    <t>Tujuan Analisis Risiko</t>
  </si>
  <si>
    <t>Menganalisis potensi risiko yang dapat mempengaruhi pencapaian tujuan project serta menyusun strategi mitigasi untuk mengurangi dampak negatif yang mungkin timbul.</t>
  </si>
  <si>
    <t>Identifikasi Risiko</t>
  </si>
  <si>
    <t>Identifikasi risiko dilakukan sebagai bagian dari proses penyusunan NPA untuk memastikan setiap usulan project telah mempertimbangkan potensi hambatan dari berbagai aspek seperti operasional, keuangan, kepatuhan, dll. Hasil identifikasi ini menjadi dasar dalam penyusunan rencana mitigasi dan pengendalian yang akan dipantau selama pelaksanaan project oleh S-Finlog.</t>
  </si>
  <si>
    <t>Petunjuk Pengisian Form Analisis Risiko</t>
  </si>
  <si>
    <t>Kolom</t>
  </si>
  <si>
    <t>Penjelasan/Petunjuk Pengisian</t>
  </si>
  <si>
    <t>Contoh</t>
  </si>
  <si>
    <t>Ketegori Risiko</t>
  </si>
  <si>
    <t>Tuliskan jenis atau kelompok risiko sesuai aspek yang berpotensi terdampak dalam project. Gunakan kategori seperti: Strategis, Tata kelola, Kepatuhan/Hukum, Finansial, Operasional, SDM, Lingkungan &amp; K3, atau Reputasi</t>
  </si>
  <si>
    <t>Risiko Operasional</t>
  </si>
  <si>
    <t>Deskripsi Risiko</t>
  </si>
  <si>
    <t>Uraikan secara singkat kejadian atau kondisi yang berpotensi menghambat pencapaian tujuan project. Tulis dalam bentuk pernyataan yang jelas dan spesifik.</t>
  </si>
  <si>
    <t>Keterlambatan pengiriman material dari vendor.</t>
  </si>
  <si>
    <t>Penyebab</t>
  </si>
  <si>
    <t>Jelaskan faktor utama yang dapat memicu terjadinya risiko. Bisa berasal dari internal (proses, SDM, sistem) atau eksternal (vendor, kebijakan, cuaca, dll).</t>
  </si>
  <si>
    <t>Proses pengadaan belum selesai karena revisi dokumen teknis.</t>
  </si>
  <si>
    <t>Dampak</t>
  </si>
  <si>
    <t>Uraikan konsekuensi atau akibat yang akan terjadi jika risiko tersebut benar-benar terjadi. Dampak dapat berupa keterlambatan, tambahan biaya, penurunan kualitas, atau pelanggaran kepatuhan.</t>
  </si>
  <si>
    <t>Jadwal project mundur dua minggu dan biaya transportasi meningkat.</t>
  </si>
  <si>
    <t>Mitigasi</t>
  </si>
  <si>
    <t>Jelaskan langkah-langkah atau tindakan yang direncanakan untuk mencegah risiko terjadi atau mengurangi dampaknya. Sertakan langkah yang spesifik, realistis, dan dapat dilaksanakan.</t>
  </si>
  <si>
    <t>Menyusun kontrak / PKS dengan klausul penalti keterlambatan dan menetapkan vendor alternatif.</t>
  </si>
  <si>
    <t>PiC</t>
  </si>
  <si>
    <t>Sebutkan pihak atau unit yang bertanggung jawab melaksanakan tindakan mitigasi dan memantau perkembangan risiko.</t>
  </si>
  <si>
    <t>Tim Pengadaan / Project Manager.</t>
  </si>
  <si>
    <t>Status</t>
  </si>
  <si>
    <t>Tulis perkembangan terkini dari tindakan mitigasi dengan menggunakan keterangan seperti: Teridentifikasi, Dalam Proses, Terlaksana/Selesai, atau Perlu Tindakan Lanjutan.</t>
  </si>
  <si>
    <t>Dalam Proses.</t>
  </si>
  <si>
    <t>Form Analisis Risiko</t>
  </si>
  <si>
    <t>Kategori Risiko</t>
  </si>
  <si>
    <t>PIC</t>
  </si>
  <si>
    <t>Dokumen Pendukung</t>
  </si>
  <si>
    <t>Dokumen-dokumen yang wajib disertakan dan dikirim melalui email dalam rangka pengajuan pembiayaan project melalui S-Finlog adalah sebagai berikut:</t>
  </si>
  <si>
    <t>1. Company Profile Perusahaan Mitra / Vendor yang Diusulkan
2. Form New Customer/Client
3. Dokumen Kerja Sama (PKS, Kontrak, atau PO)
4. Dokumen Legalitas (sesuai dengan ketentuan di form New Customer)
5. Dokumen NPA (Workbook ini sebagai dokumen pengajuan project)</t>
  </si>
  <si>
    <t>Seluruh dokumen di atas dikirim melalui email kepada:
Aditia Pratama, Rafi Ghani Razak, Luthfia, dan Akmal</t>
  </si>
  <si>
    <t>Nama Portofolio</t>
  </si>
  <si>
    <t>Lokasi Project</t>
  </si>
  <si>
    <t>Potensi Revenue Project</t>
  </si>
  <si>
    <t xml:space="preserve">Term of Payment </t>
  </si>
  <si>
    <t>Total Pinjaman Modal</t>
  </si>
  <si>
    <t>GAP</t>
  </si>
  <si>
    <t>Loghos</t>
  </si>
  <si>
    <t>MBG Pasirwangi</t>
  </si>
  <si>
    <t>Bandung</t>
  </si>
  <si>
    <t>Cash</t>
  </si>
  <si>
    <t>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</si>
</sst>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Rp-3809]* #,##0_-;\-[$Rp-3809]* #,##0_-;_-[$Rp-3809]* &quot;-&quot;??_-;_-@_-"/>
    <numFmt numFmtId="165" formatCode="_-[$Rp-421]* #,##0_-;\-[$Rp-421]* #,##0_-;_-[$Rp-421]* &quot;-&quot;??_-;_-@_-"/>
    <numFmt numFmtId="166" formatCode="_(* #,##0_);_(* \(#,##0\);_(* &quot;-&quot;??_);_(@_)"/>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b/>
      <sz val="12"/>
      <color theme="1"/>
      <name val="Aptos Narrow"/>
      <family val="2"/>
      <scheme val="minor"/>
    </font>
    <font>
      <b/>
      <sz val="16"/>
      <color theme="0"/>
      <name val="Aptos Narrow"/>
      <family val="2"/>
      <scheme val="minor"/>
    </font>
    <font>
      <b/>
      <sz val="12"/>
      <color theme="0"/>
      <name val="Aptos Narrow"/>
      <family val="2"/>
      <scheme val="minor"/>
    </font>
    <font>
      <b/>
      <sz val="11"/>
      <color theme="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5"/>
        <bgColor indexed="64"/>
      </patternFill>
    </fill>
    <fill>
      <patternFill patternType="solid">
        <fgColor theme="9"/>
        <bgColor indexed="64"/>
      </patternFill>
    </fill>
    <fill>
      <patternFill patternType="solid">
        <fgColor rgb="FF92D050"/>
        <bgColor indexed="64"/>
      </patternFill>
    </fill>
    <fill>
      <patternFill patternType="solid">
        <fgColor rgb="FF00B0F0"/>
        <bgColor indexed="64"/>
      </patternFill>
    </fill>
    <fill>
      <patternFill patternType="solid">
        <fgColor rgb="FF499999"/>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04">
    <xf numFmtId="0" fontId="0" fillId="0" borderId="0" xfId="0"/>
    <xf numFmtId="0" fontId="0" fillId="0" borderId="0" xfId="0" applyAlignment="1">
      <alignment horizontal="center"/>
    </xf>
    <xf numFmtId="0" fontId="0" fillId="0" borderId="1" xfId="0" applyBorder="1"/>
    <xf numFmtId="0" fontId="2" fillId="0" borderId="0" xfId="0" applyFont="1" applyAlignment="1">
      <alignment horizontal="center" vertical="center"/>
    </xf>
    <xf numFmtId="0" fontId="0" fillId="0" borderId="1" xfId="0" applyBorder="1" applyAlignment="1">
      <alignment horizontal="center"/>
    </xf>
    <xf numFmtId="164" fontId="0" fillId="0" borderId="1" xfId="0" applyNumberFormat="1" applyBorder="1"/>
    <xf numFmtId="164" fontId="0" fillId="2" borderId="1" xfId="0" applyNumberFormat="1" applyFill="1" applyBorder="1"/>
    <xf numFmtId="0" fontId="0" fillId="0" borderId="3" xfId="0" applyBorder="1" applyAlignment="1">
      <alignment horizontal="center"/>
    </xf>
    <xf numFmtId="0" fontId="0" fillId="0" borderId="3" xfId="0" applyBorder="1"/>
    <xf numFmtId="164" fontId="0" fillId="0" borderId="3" xfId="0" applyNumberFormat="1" applyBorder="1"/>
    <xf numFmtId="0" fontId="2" fillId="3" borderId="3" xfId="0" applyFont="1" applyFill="1" applyBorder="1" applyAlignment="1">
      <alignment horizontal="center" vertical="center"/>
    </xf>
    <xf numFmtId="0" fontId="0" fillId="0" borderId="2" xfId="0" applyBorder="1"/>
    <xf numFmtId="0" fontId="3" fillId="0" borderId="0" xfId="0" applyFont="1"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2" xfId="0" applyFont="1" applyBorder="1" applyAlignment="1">
      <alignment horizontal="center" vertical="center"/>
    </xf>
    <xf numFmtId="0" fontId="3" fillId="0" borderId="2" xfId="0" applyFont="1" applyBorder="1" applyAlignment="1">
      <alignment vertical="center"/>
    </xf>
    <xf numFmtId="0" fontId="3" fillId="0" borderId="2" xfId="0" applyFont="1" applyBorder="1" applyAlignment="1">
      <alignment vertical="center" wrapText="1"/>
    </xf>
    <xf numFmtId="0" fontId="3" fillId="0" borderId="5" xfId="0" applyFont="1" applyBorder="1" applyAlignment="1">
      <alignment horizontal="center" vertical="center"/>
    </xf>
    <xf numFmtId="0" fontId="3" fillId="0" borderId="5" xfId="0" applyFont="1" applyBorder="1" applyAlignment="1">
      <alignment vertical="center" wrapText="1"/>
    </xf>
    <xf numFmtId="0" fontId="3" fillId="0" borderId="0" xfId="0" applyFont="1" applyAlignment="1">
      <alignment horizontal="center" vertical="center"/>
    </xf>
    <xf numFmtId="0" fontId="3" fillId="0" borderId="0" xfId="0" applyFont="1" applyAlignment="1">
      <alignment vertical="center"/>
    </xf>
    <xf numFmtId="0" fontId="2" fillId="0" borderId="0" xfId="0" applyFont="1"/>
    <xf numFmtId="0" fontId="0" fillId="0" borderId="0" xfId="0" applyAlignment="1">
      <alignment wrapText="1"/>
    </xf>
    <xf numFmtId="0" fontId="2" fillId="0" borderId="2" xfId="0" applyFont="1" applyBorder="1"/>
    <xf numFmtId="0" fontId="4" fillId="0" borderId="16" xfId="0" applyFont="1" applyBorder="1" applyAlignment="1">
      <alignment horizontal="center" vertical="center"/>
    </xf>
    <xf numFmtId="0" fontId="4" fillId="0" borderId="16" xfId="0" applyFont="1" applyBorder="1" applyAlignment="1">
      <alignment horizontal="center" vertical="center" wrapText="1"/>
    </xf>
    <xf numFmtId="0" fontId="5" fillId="0" borderId="0" xfId="0" applyFont="1"/>
    <xf numFmtId="0" fontId="2" fillId="0" borderId="0" xfId="0" applyFont="1" applyAlignment="1">
      <alignment horizontal="center"/>
    </xf>
    <xf numFmtId="0" fontId="2" fillId="0" borderId="5" xfId="0" applyFont="1" applyBorder="1"/>
    <xf numFmtId="0" fontId="2" fillId="0" borderId="5" xfId="0" applyFont="1" applyBorder="1" applyAlignment="1">
      <alignment horizontal="center"/>
    </xf>
    <xf numFmtId="0" fontId="2" fillId="0" borderId="2" xfId="0" applyFont="1" applyBorder="1" applyAlignment="1">
      <alignment horizontal="center" vertical="center"/>
    </xf>
    <xf numFmtId="0" fontId="2" fillId="0" borderId="2" xfId="0" applyFont="1" applyBorder="1" applyAlignment="1">
      <alignment horizontal="center"/>
    </xf>
    <xf numFmtId="165" fontId="2" fillId="0" borderId="2" xfId="0" applyNumberFormat="1" applyFont="1" applyBorder="1" applyAlignment="1">
      <alignment vertical="center"/>
    </xf>
    <xf numFmtId="165" fontId="0" fillId="0" borderId="2" xfId="0" applyNumberFormat="1" applyBorder="1" applyAlignment="1">
      <alignment vertical="center"/>
    </xf>
    <xf numFmtId="0" fontId="0" fillId="0" borderId="2" xfId="0" applyBorder="1" applyAlignment="1">
      <alignment horizontal="center" vertical="center"/>
    </xf>
    <xf numFmtId="0" fontId="2" fillId="2" borderId="0" xfId="0" applyFont="1" applyFill="1" applyAlignment="1">
      <alignment vertical="center"/>
    </xf>
    <xf numFmtId="9" fontId="0" fillId="6" borderId="2" xfId="1" applyFont="1" applyFill="1" applyBorder="1" applyAlignment="1">
      <alignment horizontal="center"/>
    </xf>
    <xf numFmtId="164" fontId="0" fillId="0" borderId="2" xfId="0" applyNumberFormat="1" applyBorder="1" applyAlignment="1">
      <alignment horizontal="center"/>
    </xf>
    <xf numFmtId="164" fontId="0" fillId="7" borderId="2" xfId="0" applyNumberFormat="1" applyFill="1" applyBorder="1" applyAlignment="1">
      <alignment horizontal="center"/>
    </xf>
    <xf numFmtId="166" fontId="0" fillId="0" borderId="0" xfId="0" applyNumberFormat="1" applyAlignment="1">
      <alignment horizontal="center" vertical="center"/>
    </xf>
    <xf numFmtId="0" fontId="0" fillId="0" borderId="2" xfId="0" applyBorder="1" applyAlignment="1">
      <alignment horizontal="center"/>
    </xf>
    <xf numFmtId="166" fontId="0" fillId="0" borderId="2" xfId="0" applyNumberFormat="1" applyBorder="1" applyAlignment="1">
      <alignment horizontal="center" vertical="center"/>
    </xf>
    <xf numFmtId="0" fontId="7" fillId="8" borderId="2" xfId="0" applyFont="1" applyFill="1" applyBorder="1" applyAlignment="1">
      <alignment horizontal="center" vertical="center"/>
    </xf>
    <xf numFmtId="166" fontId="7" fillId="8" borderId="2" xfId="0" applyNumberFormat="1" applyFont="1" applyFill="1" applyBorder="1" applyAlignment="1">
      <alignment horizontal="center" vertical="center"/>
    </xf>
    <xf numFmtId="0" fontId="2" fillId="3" borderId="16" xfId="0" applyFont="1" applyFill="1" applyBorder="1" applyAlignment="1">
      <alignment horizontal="center" vertical="center"/>
    </xf>
    <xf numFmtId="0" fontId="2" fillId="3" borderId="13" xfId="0" applyFont="1" applyFill="1" applyBorder="1" applyAlignment="1">
      <alignment horizontal="center" vertical="center"/>
    </xf>
    <xf numFmtId="0" fontId="2" fillId="2" borderId="0" xfId="0" applyFont="1" applyFill="1" applyAlignment="1">
      <alignment horizontal="center" vertical="center"/>
    </xf>
    <xf numFmtId="0" fontId="0" fillId="2" borderId="12" xfId="0" applyFill="1" applyBorder="1"/>
    <xf numFmtId="0" fontId="2" fillId="2" borderId="14" xfId="0" applyFont="1" applyFill="1" applyBorder="1" applyAlignment="1">
      <alignment vertical="center" wrapText="1"/>
    </xf>
    <xf numFmtId="0" fontId="2" fillId="2" borderId="15" xfId="0" applyFont="1" applyFill="1" applyBorder="1" applyAlignment="1">
      <alignment vertical="center" wrapText="1"/>
    </xf>
    <xf numFmtId="0" fontId="2" fillId="0" borderId="2" xfId="0" applyFont="1" applyBorder="1" applyAlignment="1">
      <alignment vertical="center"/>
    </xf>
    <xf numFmtId="0" fontId="3" fillId="0" borderId="0" xfId="0" applyFont="1" applyAlignment="1">
      <alignment horizontal="left" vertical="center" wrapText="1"/>
    </xf>
    <xf numFmtId="0" fontId="0" fillId="0" borderId="2" xfId="0" applyBorder="1" applyAlignment="1">
      <alignment vertical="center" wrapText="1"/>
    </xf>
    <xf numFmtId="0" fontId="0" fillId="0" borderId="2" xfId="0" applyBorder="1" applyAlignment="1">
      <alignment vertical="center"/>
    </xf>
    <xf numFmtId="0" fontId="0" fillId="0" borderId="2" xfId="0" applyBorder="1" applyAlignment="1">
      <alignment wrapText="1"/>
    </xf>
    <xf numFmtId="0" fontId="5" fillId="8" borderId="4" xfId="0" applyFont="1" applyFill="1" applyBorder="1" applyAlignment="1">
      <alignment horizontal="center" vertical="center"/>
    </xf>
    <xf numFmtId="0" fontId="5" fillId="8" borderId="6" xfId="0" applyFont="1" applyFill="1" applyBorder="1" applyAlignment="1">
      <alignment horizontal="center" vertical="center"/>
    </xf>
    <xf numFmtId="0" fontId="5" fillId="8" borderId="7" xfId="0" applyFont="1" applyFill="1" applyBorder="1" applyAlignment="1">
      <alignment horizontal="center" vertical="center"/>
    </xf>
    <xf numFmtId="0" fontId="5" fillId="8" borderId="2" xfId="0" applyFont="1" applyFill="1" applyBorder="1" applyAlignment="1">
      <alignment horizontal="center" vertical="center"/>
    </xf>
    <xf numFmtId="0" fontId="0" fillId="0" borderId="5" xfId="0" applyBorder="1" applyAlignment="1">
      <alignment wrapText="1"/>
    </xf>
    <xf numFmtId="0" fontId="0" fillId="0" borderId="2" xfId="0" applyBorder="1" applyAlignment="1">
      <alignment horizontal="left" vertical="center" wrapText="1"/>
    </xf>
    <xf numFmtId="0" fontId="0" fillId="0" borderId="2" xfId="0" applyBorder="1"/>
    <xf numFmtId="0" fontId="0" fillId="0" borderId="4" xfId="0" applyBorder="1"/>
    <xf numFmtId="0" fontId="0" fillId="0" borderId="7" xfId="0" applyBorder="1"/>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4"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6" fillId="8"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2" borderId="17" xfId="0" applyFont="1" applyFill="1" applyBorder="1" applyAlignment="1">
      <alignment horizontal="center"/>
    </xf>
    <xf numFmtId="0" fontId="2" fillId="2" borderId="18" xfId="0" applyFont="1" applyFill="1" applyBorder="1" applyAlignment="1">
      <alignment horizontal="center"/>
    </xf>
    <xf numFmtId="0" fontId="2" fillId="2" borderId="19" xfId="0" applyFont="1" applyFill="1" applyBorder="1" applyAlignment="1">
      <alignment horizontal="center"/>
    </xf>
    <xf numFmtId="0" fontId="2" fillId="5" borderId="8" xfId="0" applyFont="1" applyFill="1" applyBorder="1" applyAlignment="1">
      <alignment horizontal="center" vertical="center"/>
    </xf>
    <xf numFmtId="0" fontId="2" fillId="5" borderId="9" xfId="0" applyFont="1" applyFill="1" applyBorder="1" applyAlignment="1">
      <alignment horizontal="center" vertical="center"/>
    </xf>
    <xf numFmtId="0" fontId="2" fillId="5" borderId="10" xfId="0" applyFont="1" applyFill="1" applyBorder="1" applyAlignment="1">
      <alignment horizontal="center" vertical="center"/>
    </xf>
    <xf numFmtId="0" fontId="2" fillId="5" borderId="13" xfId="0" applyFont="1" applyFill="1" applyBorder="1" applyAlignment="1">
      <alignment horizontal="center" vertical="center"/>
    </xf>
    <xf numFmtId="0" fontId="2" fillId="5" borderId="14" xfId="0" applyFont="1" applyFill="1" applyBorder="1" applyAlignment="1">
      <alignment horizontal="center" vertical="center"/>
    </xf>
    <xf numFmtId="0" fontId="2" fillId="5" borderId="15" xfId="0" applyFont="1" applyFill="1" applyBorder="1" applyAlignment="1">
      <alignment horizontal="center" vertical="center"/>
    </xf>
    <xf numFmtId="0" fontId="2" fillId="2" borderId="11" xfId="0" applyFont="1" applyFill="1" applyBorder="1" applyAlignment="1">
      <alignment horizontal="right" vertical="center"/>
    </xf>
    <xf numFmtId="0" fontId="2" fillId="2" borderId="0" xfId="0" applyFont="1" applyFill="1" applyAlignment="1">
      <alignment horizontal="right" vertical="center"/>
    </xf>
    <xf numFmtId="0" fontId="2" fillId="0" borderId="2" xfId="0" applyFont="1" applyBorder="1" applyAlignment="1">
      <alignment vertical="center"/>
    </xf>
    <xf numFmtId="0" fontId="2" fillId="2" borderId="13" xfId="0" applyFont="1" applyFill="1" applyBorder="1" applyAlignment="1">
      <alignment horizontal="right" vertical="center" wrapText="1"/>
    </xf>
    <xf numFmtId="0" fontId="2" fillId="2" borderId="14" xfId="0" applyFont="1" applyFill="1" applyBorder="1" applyAlignment="1">
      <alignment horizontal="right" vertical="center" wrapText="1"/>
    </xf>
    <xf numFmtId="0" fontId="5" fillId="8" borderId="2" xfId="0" applyFont="1" applyFill="1" applyBorder="1" applyAlignment="1">
      <alignment horizontal="center"/>
    </xf>
    <xf numFmtId="0" fontId="3" fillId="0" borderId="0" xfId="0" applyFont="1" applyAlignment="1">
      <alignment horizontal="left" vertical="center" wrapText="1"/>
    </xf>
    <xf numFmtId="0" fontId="3" fillId="0" borderId="2" xfId="0" applyFont="1" applyBorder="1" applyAlignment="1">
      <alignment horizontal="center" vertical="center" wrapText="1"/>
    </xf>
    <xf numFmtId="0" fontId="5" fillId="8" borderId="5" xfId="0" applyFont="1" applyFill="1" applyBorder="1" applyAlignment="1">
      <alignment horizontal="center"/>
    </xf>
    <xf numFmtId="0" fontId="0" fillId="0" borderId="2" xfId="0" applyBorder="1" applyAlignment="1">
      <alignment vertical="center" wrapText="1"/>
    </xf>
    <xf numFmtId="0" fontId="0" fillId="0" borderId="2" xfId="0" quotePrefix="1" applyBorder="1" applyAlignment="1">
      <alignment vertical="center" wrapText="1"/>
    </xf>
    <xf numFmtId="0" fontId="0" fillId="0" borderId="2" xfId="0" applyBorder="1" applyAlignment="1">
      <alignment vertical="center"/>
    </xf>
  </cellXfs>
  <cellStyles count="2">
    <cellStyle name="Normal" xfId="0" builtinId="0"/>
    <cellStyle name="Percent" xfId="1" builtinId="5"/>
  </cellStyles>
  <dxfs count="0"/>
  <tableStyles count="0" defaultTableStyle="TableStyleMedium2" defaultPivotStyle="PivotStyleLight16"/>
  <colors>
    <mruColors>
      <color rgb="FF49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E7810-9135-4299-99E8-DE9C889AF949}">
  <dimension ref="B1:O46"/>
  <sheetViews>
    <sheetView workbookViewId="0">
      <selection activeCell="R5" sqref="R5"/>
    </sheetView>
  </sheetViews>
  <sheetFormatPr defaultRowHeight="14.4" x14ac:dyDescent="0.3"/>
  <cols>
    <col min="1" max="1" width="3.6640625" customWidth="1"/>
    <col min="2" max="2" width="22.33203125" bestFit="1" customWidth="1"/>
    <col min="3" max="3" width="2.44140625" customWidth="1"/>
    <col min="4" max="15" width="7.33203125" customWidth="1"/>
  </cols>
  <sheetData>
    <row r="1" spans="2:15" x14ac:dyDescent="0.3">
      <c r="C1" s="1"/>
    </row>
    <row r="2" spans="2:15" ht="21" x14ac:dyDescent="0.3">
      <c r="B2" s="59" t="s">
        <v>0</v>
      </c>
      <c r="C2" s="59"/>
      <c r="D2" s="59"/>
      <c r="E2" s="59"/>
      <c r="F2" s="59"/>
      <c r="G2" s="59"/>
      <c r="H2" s="59"/>
      <c r="I2" s="59"/>
      <c r="J2" s="59"/>
      <c r="K2" s="59"/>
      <c r="L2" s="59"/>
      <c r="M2" s="59"/>
      <c r="N2" s="59"/>
      <c r="O2" s="59"/>
    </row>
    <row r="3" spans="2:15" x14ac:dyDescent="0.3">
      <c r="B3" s="24" t="s">
        <v>1</v>
      </c>
      <c r="C3" s="32" t="s">
        <v>2</v>
      </c>
      <c r="D3" s="55"/>
      <c r="E3" s="55"/>
      <c r="F3" s="55"/>
      <c r="G3" s="55"/>
      <c r="H3" s="55"/>
      <c r="I3" s="55"/>
      <c r="J3" s="55"/>
      <c r="K3" s="55"/>
      <c r="L3" s="55"/>
      <c r="M3" s="55"/>
      <c r="N3" s="55"/>
      <c r="O3" s="55"/>
    </row>
    <row r="4" spans="2:15" x14ac:dyDescent="0.3">
      <c r="B4" s="24" t="s">
        <v>3</v>
      </c>
      <c r="C4" s="32" t="s">
        <v>2</v>
      </c>
      <c r="D4" s="55"/>
      <c r="E4" s="55"/>
      <c r="F4" s="55"/>
      <c r="G4" s="55"/>
      <c r="H4" s="55"/>
      <c r="I4" s="55"/>
      <c r="J4" s="55"/>
      <c r="K4" s="55"/>
      <c r="L4" s="55"/>
      <c r="M4" s="55"/>
      <c r="N4" s="55"/>
      <c r="O4" s="55"/>
    </row>
    <row r="5" spans="2:15" x14ac:dyDescent="0.3">
      <c r="B5" s="24" t="s">
        <v>4</v>
      </c>
      <c r="C5" s="32" t="s">
        <v>2</v>
      </c>
      <c r="D5" s="55"/>
      <c r="E5" s="55"/>
      <c r="F5" s="55"/>
      <c r="G5" s="55"/>
      <c r="H5" s="55"/>
      <c r="I5" s="55"/>
      <c r="J5" s="55"/>
      <c r="K5" s="55"/>
      <c r="L5" s="55"/>
      <c r="M5" s="55"/>
      <c r="N5" s="55"/>
      <c r="O5" s="55"/>
    </row>
    <row r="6" spans="2:15" x14ac:dyDescent="0.3">
      <c r="B6" s="24" t="s">
        <v>5</v>
      </c>
      <c r="C6" s="32" t="s">
        <v>2</v>
      </c>
      <c r="D6" s="55"/>
      <c r="E6" s="55"/>
      <c r="F6" s="55"/>
      <c r="G6" s="55"/>
      <c r="H6" s="55"/>
      <c r="I6" s="55"/>
      <c r="J6" s="55"/>
      <c r="K6" s="55"/>
      <c r="L6" s="55"/>
      <c r="M6" s="55"/>
      <c r="N6" s="55"/>
      <c r="O6" s="55"/>
    </row>
    <row r="7" spans="2:15" x14ac:dyDescent="0.3">
      <c r="B7" s="24" t="s">
        <v>6</v>
      </c>
      <c r="C7" s="32" t="s">
        <v>2</v>
      </c>
      <c r="D7" s="55"/>
      <c r="E7" s="55"/>
      <c r="F7" s="55"/>
      <c r="G7" s="55"/>
      <c r="H7" s="55"/>
      <c r="I7" s="55"/>
      <c r="J7" s="55"/>
      <c r="K7" s="55"/>
      <c r="L7" s="55"/>
      <c r="M7" s="55"/>
      <c r="N7" s="55"/>
      <c r="O7" s="55"/>
    </row>
    <row r="8" spans="2:15" x14ac:dyDescent="0.3">
      <c r="B8" s="24" t="s">
        <v>7</v>
      </c>
      <c r="C8" s="32" t="s">
        <v>2</v>
      </c>
      <c r="D8" s="55"/>
      <c r="E8" s="55"/>
      <c r="F8" s="55"/>
      <c r="G8" s="55"/>
      <c r="H8" s="55"/>
      <c r="I8" s="55"/>
      <c r="J8" s="55"/>
      <c r="K8" s="55"/>
      <c r="L8" s="55"/>
      <c r="M8" s="55"/>
      <c r="N8" s="55"/>
      <c r="O8" s="55"/>
    </row>
    <row r="9" spans="2:15" x14ac:dyDescent="0.3">
      <c r="B9" s="29" t="s">
        <v>8</v>
      </c>
      <c r="C9" s="30" t="s">
        <v>2</v>
      </c>
      <c r="D9" s="60"/>
      <c r="E9" s="60"/>
      <c r="F9" s="60"/>
      <c r="G9" s="60"/>
      <c r="H9" s="60"/>
      <c r="I9" s="60"/>
      <c r="J9" s="60"/>
      <c r="K9" s="60"/>
      <c r="L9" s="60"/>
      <c r="M9" s="60"/>
      <c r="N9" s="60"/>
      <c r="O9" s="60"/>
    </row>
    <row r="10" spans="2:15" x14ac:dyDescent="0.3">
      <c r="B10" s="24" t="s">
        <v>9</v>
      </c>
      <c r="C10" s="32" t="s">
        <v>2</v>
      </c>
      <c r="D10" s="55"/>
      <c r="E10" s="55"/>
      <c r="F10" s="55"/>
      <c r="G10" s="55"/>
      <c r="H10" s="55"/>
      <c r="I10" s="55"/>
      <c r="J10" s="55"/>
      <c r="K10" s="55"/>
      <c r="L10" s="55"/>
      <c r="M10" s="55"/>
      <c r="N10" s="55"/>
      <c r="O10" s="55"/>
    </row>
    <row r="11" spans="2:15" x14ac:dyDescent="0.3">
      <c r="B11" s="24" t="s">
        <v>10</v>
      </c>
      <c r="C11" s="32" t="s">
        <v>2</v>
      </c>
      <c r="D11" s="55"/>
      <c r="E11" s="55"/>
      <c r="F11" s="55"/>
      <c r="G11" s="55"/>
      <c r="H11" s="55"/>
      <c r="I11" s="55"/>
      <c r="J11" s="55"/>
      <c r="K11" s="55"/>
      <c r="L11" s="55"/>
      <c r="M11" s="55"/>
      <c r="N11" s="55"/>
      <c r="O11" s="55"/>
    </row>
    <row r="12" spans="2:15" x14ac:dyDescent="0.3">
      <c r="C12" s="1"/>
    </row>
    <row r="13" spans="2:15" ht="21" x14ac:dyDescent="0.3">
      <c r="B13" s="56" t="s">
        <v>11</v>
      </c>
      <c r="C13" s="57"/>
      <c r="D13" s="57"/>
      <c r="E13" s="57"/>
      <c r="F13" s="57"/>
      <c r="G13" s="57"/>
      <c r="H13" s="57"/>
      <c r="I13" s="57"/>
      <c r="J13" s="57"/>
      <c r="K13" s="57"/>
      <c r="L13" s="57"/>
      <c r="M13" s="57"/>
      <c r="N13" s="57"/>
      <c r="O13" s="58"/>
    </row>
    <row r="14" spans="2:15" x14ac:dyDescent="0.3">
      <c r="B14" s="61"/>
      <c r="C14" s="61"/>
      <c r="D14" s="61"/>
      <c r="E14" s="61"/>
      <c r="F14" s="61"/>
      <c r="G14" s="61"/>
      <c r="H14" s="61"/>
      <c r="I14" s="61"/>
      <c r="J14" s="61"/>
      <c r="K14" s="61"/>
      <c r="L14" s="61"/>
      <c r="M14" s="61"/>
      <c r="N14" s="61"/>
      <c r="O14" s="61"/>
    </row>
    <row r="15" spans="2:15" x14ac:dyDescent="0.3">
      <c r="B15" s="61"/>
      <c r="C15" s="61"/>
      <c r="D15" s="61"/>
      <c r="E15" s="61"/>
      <c r="F15" s="61"/>
      <c r="G15" s="61"/>
      <c r="H15" s="61"/>
      <c r="I15" s="61"/>
      <c r="J15" s="61"/>
      <c r="K15" s="61"/>
      <c r="L15" s="61"/>
      <c r="M15" s="61"/>
      <c r="N15" s="61"/>
      <c r="O15" s="61"/>
    </row>
    <row r="16" spans="2:15" x14ac:dyDescent="0.3">
      <c r="B16" s="61"/>
      <c r="C16" s="61"/>
      <c r="D16" s="61"/>
      <c r="E16" s="61"/>
      <c r="F16" s="61"/>
      <c r="G16" s="61"/>
      <c r="H16" s="61"/>
      <c r="I16" s="61"/>
      <c r="J16" s="61"/>
      <c r="K16" s="61"/>
      <c r="L16" s="61"/>
      <c r="M16" s="61"/>
      <c r="N16" s="61"/>
      <c r="O16" s="61"/>
    </row>
    <row r="17" spans="2:15" x14ac:dyDescent="0.3">
      <c r="B17" s="61"/>
      <c r="C17" s="61"/>
      <c r="D17" s="61"/>
      <c r="E17" s="61"/>
      <c r="F17" s="61"/>
      <c r="G17" s="61"/>
      <c r="H17" s="61"/>
      <c r="I17" s="61"/>
      <c r="J17" s="61"/>
      <c r="K17" s="61"/>
      <c r="L17" s="61"/>
      <c r="M17" s="61"/>
      <c r="N17" s="61"/>
      <c r="O17" s="61"/>
    </row>
    <row r="18" spans="2:15" x14ac:dyDescent="0.3">
      <c r="B18" s="61"/>
      <c r="C18" s="61"/>
      <c r="D18" s="61"/>
      <c r="E18" s="61"/>
      <c r="F18" s="61"/>
      <c r="G18" s="61"/>
      <c r="H18" s="61"/>
      <c r="I18" s="61"/>
      <c r="J18" s="61"/>
      <c r="K18" s="61"/>
      <c r="L18" s="61"/>
      <c r="M18" s="61"/>
      <c r="N18" s="61"/>
      <c r="O18" s="61"/>
    </row>
    <row r="19" spans="2:15" x14ac:dyDescent="0.3">
      <c r="B19" s="61"/>
      <c r="C19" s="61"/>
      <c r="D19" s="61"/>
      <c r="E19" s="61"/>
      <c r="F19" s="61"/>
      <c r="G19" s="61"/>
      <c r="H19" s="61"/>
      <c r="I19" s="61"/>
      <c r="J19" s="61"/>
      <c r="K19" s="61"/>
      <c r="L19" s="61"/>
      <c r="M19" s="61"/>
      <c r="N19" s="61"/>
      <c r="O19" s="61"/>
    </row>
    <row r="20" spans="2:15" x14ac:dyDescent="0.3">
      <c r="B20" s="61"/>
      <c r="C20" s="61"/>
      <c r="D20" s="61"/>
      <c r="E20" s="61"/>
      <c r="F20" s="61"/>
      <c r="G20" s="61"/>
      <c r="H20" s="61"/>
      <c r="I20" s="61"/>
      <c r="J20" s="61"/>
      <c r="K20" s="61"/>
      <c r="L20" s="61"/>
      <c r="M20" s="61"/>
      <c r="N20" s="61"/>
      <c r="O20" s="61"/>
    </row>
    <row r="22" spans="2:15" ht="21" x14ac:dyDescent="0.3">
      <c r="B22" s="56" t="s">
        <v>12</v>
      </c>
      <c r="C22" s="57"/>
      <c r="D22" s="57"/>
      <c r="E22" s="57"/>
      <c r="F22" s="57"/>
      <c r="G22" s="57"/>
      <c r="H22" s="57"/>
      <c r="I22" s="57"/>
      <c r="J22" s="57"/>
      <c r="K22" s="57"/>
      <c r="L22" s="57"/>
      <c r="M22" s="57"/>
      <c r="N22" s="57"/>
      <c r="O22" s="58"/>
    </row>
    <row r="23" spans="2:15" x14ac:dyDescent="0.3">
      <c r="B23" s="61"/>
      <c r="C23" s="61"/>
      <c r="D23" s="61"/>
      <c r="E23" s="61"/>
      <c r="F23" s="61"/>
      <c r="G23" s="61"/>
      <c r="H23" s="61"/>
      <c r="I23" s="61"/>
      <c r="J23" s="61"/>
      <c r="K23" s="61"/>
      <c r="L23" s="61"/>
      <c r="M23" s="61"/>
      <c r="N23" s="61"/>
      <c r="O23" s="61"/>
    </row>
    <row r="24" spans="2:15" x14ac:dyDescent="0.3">
      <c r="B24" s="61"/>
      <c r="C24" s="61"/>
      <c r="D24" s="61"/>
      <c r="E24" s="61"/>
      <c r="F24" s="61"/>
      <c r="G24" s="61"/>
      <c r="H24" s="61"/>
      <c r="I24" s="61"/>
      <c r="J24" s="61"/>
      <c r="K24" s="61"/>
      <c r="L24" s="61"/>
      <c r="M24" s="61"/>
      <c r="N24" s="61"/>
      <c r="O24" s="61"/>
    </row>
    <row r="25" spans="2:15" x14ac:dyDescent="0.3">
      <c r="B25" s="61"/>
      <c r="C25" s="61"/>
      <c r="D25" s="61"/>
      <c r="E25" s="61"/>
      <c r="F25" s="61"/>
      <c r="G25" s="61"/>
      <c r="H25" s="61"/>
      <c r="I25" s="61"/>
      <c r="J25" s="61"/>
      <c r="K25" s="61"/>
      <c r="L25" s="61"/>
      <c r="M25" s="61"/>
      <c r="N25" s="61"/>
      <c r="O25" s="61"/>
    </row>
    <row r="26" spans="2:15" x14ac:dyDescent="0.3">
      <c r="B26" s="61"/>
      <c r="C26" s="61"/>
      <c r="D26" s="61"/>
      <c r="E26" s="61"/>
      <c r="F26" s="61"/>
      <c r="G26" s="61"/>
      <c r="H26" s="61"/>
      <c r="I26" s="61"/>
      <c r="J26" s="61"/>
      <c r="K26" s="61"/>
      <c r="L26" s="61"/>
      <c r="M26" s="61"/>
      <c r="N26" s="61"/>
      <c r="O26" s="61"/>
    </row>
    <row r="27" spans="2:15" x14ac:dyDescent="0.3">
      <c r="B27" s="61"/>
      <c r="C27" s="61"/>
      <c r="D27" s="61"/>
      <c r="E27" s="61"/>
      <c r="F27" s="61"/>
      <c r="G27" s="61"/>
      <c r="H27" s="61"/>
      <c r="I27" s="61"/>
      <c r="J27" s="61"/>
      <c r="K27" s="61"/>
      <c r="L27" s="61"/>
      <c r="M27" s="61"/>
      <c r="N27" s="61"/>
      <c r="O27" s="61"/>
    </row>
    <row r="28" spans="2:15" x14ac:dyDescent="0.3">
      <c r="B28" s="61"/>
      <c r="C28" s="61"/>
      <c r="D28" s="61"/>
      <c r="E28" s="61"/>
      <c r="F28" s="61"/>
      <c r="G28" s="61"/>
      <c r="H28" s="61"/>
      <c r="I28" s="61"/>
      <c r="J28" s="61"/>
      <c r="K28" s="61"/>
      <c r="L28" s="61"/>
      <c r="M28" s="61"/>
      <c r="N28" s="61"/>
      <c r="O28" s="61"/>
    </row>
    <row r="29" spans="2:15" x14ac:dyDescent="0.3">
      <c r="B29" s="61"/>
      <c r="C29" s="61"/>
      <c r="D29" s="61"/>
      <c r="E29" s="61"/>
      <c r="F29" s="61"/>
      <c r="G29" s="61"/>
      <c r="H29" s="61"/>
      <c r="I29" s="61"/>
      <c r="J29" s="61"/>
      <c r="K29" s="61"/>
      <c r="L29" s="61"/>
      <c r="M29" s="61"/>
      <c r="N29" s="61"/>
      <c r="O29" s="61"/>
    </row>
    <row r="31" spans="2:15" ht="21" x14ac:dyDescent="0.3">
      <c r="B31" s="56" t="s">
        <v>13</v>
      </c>
      <c r="C31" s="57"/>
      <c r="D31" s="57"/>
      <c r="E31" s="57"/>
      <c r="F31" s="57"/>
      <c r="G31" s="57"/>
      <c r="H31" s="57"/>
      <c r="I31" s="57"/>
      <c r="J31" s="57"/>
      <c r="K31" s="57"/>
      <c r="L31" s="57"/>
      <c r="M31" s="57"/>
      <c r="N31" s="57"/>
      <c r="O31" s="58"/>
    </row>
    <row r="32" spans="2:15" x14ac:dyDescent="0.3">
      <c r="B32" s="65" t="s">
        <v>14</v>
      </c>
      <c r="C32" s="66"/>
      <c r="D32" s="69" t="s">
        <v>15</v>
      </c>
      <c r="E32" s="70"/>
      <c r="F32" s="70"/>
      <c r="G32" s="71"/>
      <c r="H32" s="69" t="s">
        <v>16</v>
      </c>
      <c r="I32" s="70"/>
      <c r="J32" s="70"/>
      <c r="K32" s="71"/>
      <c r="L32" s="69" t="s">
        <v>17</v>
      </c>
      <c r="M32" s="70"/>
      <c r="N32" s="70"/>
      <c r="O32" s="71"/>
    </row>
    <row r="33" spans="2:15" x14ac:dyDescent="0.3">
      <c r="B33" s="67"/>
      <c r="C33" s="68"/>
      <c r="D33" s="31">
        <v>1</v>
      </c>
      <c r="E33" s="31">
        <v>2</v>
      </c>
      <c r="F33" s="31">
        <v>3</v>
      </c>
      <c r="G33" s="31">
        <v>4</v>
      </c>
      <c r="H33" s="31">
        <v>1</v>
      </c>
      <c r="I33" s="31">
        <v>2</v>
      </c>
      <c r="J33" s="31">
        <v>3</v>
      </c>
      <c r="K33" s="31">
        <v>4</v>
      </c>
      <c r="L33" s="31">
        <v>1</v>
      </c>
      <c r="M33" s="31">
        <v>2</v>
      </c>
      <c r="N33" s="31">
        <v>3</v>
      </c>
      <c r="O33" s="31">
        <v>4</v>
      </c>
    </row>
    <row r="34" spans="2:15" x14ac:dyDescent="0.3">
      <c r="B34" s="63"/>
      <c r="C34" s="64"/>
      <c r="D34" s="11"/>
      <c r="E34" s="11"/>
      <c r="F34" s="11"/>
      <c r="G34" s="11"/>
      <c r="H34" s="11"/>
      <c r="I34" s="11"/>
      <c r="J34" s="11"/>
      <c r="K34" s="11"/>
      <c r="L34" s="11"/>
      <c r="M34" s="11"/>
      <c r="N34" s="11"/>
      <c r="O34" s="11"/>
    </row>
    <row r="35" spans="2:15" x14ac:dyDescent="0.3">
      <c r="B35" s="63"/>
      <c r="C35" s="64"/>
      <c r="D35" s="11"/>
      <c r="E35" s="11"/>
      <c r="F35" s="11"/>
      <c r="G35" s="11"/>
      <c r="H35" s="11"/>
      <c r="I35" s="11"/>
      <c r="J35" s="11"/>
      <c r="K35" s="11"/>
      <c r="L35" s="11"/>
      <c r="M35" s="11"/>
      <c r="N35" s="11"/>
      <c r="O35" s="11"/>
    </row>
    <row r="36" spans="2:15" ht="14.4" customHeight="1" x14ac:dyDescent="0.3">
      <c r="B36" s="63"/>
      <c r="C36" s="64"/>
      <c r="D36" s="11"/>
      <c r="E36" s="11"/>
      <c r="F36" s="11"/>
      <c r="G36" s="11"/>
      <c r="H36" s="11"/>
      <c r="I36" s="11"/>
      <c r="J36" s="11"/>
      <c r="K36" s="11"/>
      <c r="L36" s="11"/>
      <c r="M36" s="11"/>
      <c r="N36" s="11"/>
      <c r="O36" s="11"/>
    </row>
    <row r="37" spans="2:15" x14ac:dyDescent="0.3">
      <c r="B37" s="63"/>
      <c r="C37" s="64"/>
      <c r="D37" s="11"/>
      <c r="E37" s="11"/>
      <c r="F37" s="11"/>
      <c r="G37" s="11"/>
      <c r="H37" s="11"/>
      <c r="I37" s="11"/>
      <c r="J37" s="11"/>
      <c r="K37" s="11"/>
      <c r="L37" s="11"/>
      <c r="M37" s="11"/>
      <c r="N37" s="11"/>
      <c r="O37" s="11"/>
    </row>
    <row r="38" spans="2:15" ht="14.4" customHeight="1" x14ac:dyDescent="0.3">
      <c r="B38" s="63"/>
      <c r="C38" s="64"/>
      <c r="D38" s="11"/>
      <c r="E38" s="11"/>
      <c r="F38" s="11"/>
      <c r="G38" s="11"/>
      <c r="H38" s="11"/>
      <c r="I38" s="11"/>
      <c r="J38" s="11"/>
      <c r="K38" s="11"/>
      <c r="L38" s="11"/>
      <c r="M38" s="11"/>
      <c r="N38" s="11"/>
      <c r="O38" s="11"/>
    </row>
    <row r="39" spans="2:15" ht="14.4" customHeight="1" x14ac:dyDescent="0.3">
      <c r="B39" s="63"/>
      <c r="C39" s="64"/>
      <c r="D39" s="11"/>
      <c r="E39" s="11"/>
      <c r="F39" s="11"/>
      <c r="G39" s="11"/>
      <c r="H39" s="11"/>
      <c r="I39" s="11"/>
      <c r="J39" s="11"/>
      <c r="K39" s="11"/>
      <c r="L39" s="11"/>
      <c r="M39" s="11"/>
      <c r="N39" s="11"/>
      <c r="O39" s="11"/>
    </row>
    <row r="40" spans="2:15" ht="14.4" customHeight="1" x14ac:dyDescent="0.3">
      <c r="B40" s="63"/>
      <c r="C40" s="64"/>
      <c r="D40" s="11"/>
      <c r="E40" s="11"/>
      <c r="F40" s="11"/>
      <c r="G40" s="11"/>
      <c r="H40" s="11"/>
      <c r="I40" s="11"/>
      <c r="J40" s="11"/>
      <c r="K40" s="11"/>
      <c r="L40" s="11"/>
      <c r="M40" s="11"/>
      <c r="N40" s="11"/>
      <c r="O40" s="11"/>
    </row>
    <row r="41" spans="2:15" x14ac:dyDescent="0.3">
      <c r="B41" s="62"/>
      <c r="C41" s="62"/>
      <c r="D41" s="11"/>
      <c r="E41" s="11"/>
      <c r="F41" s="11"/>
      <c r="G41" s="11"/>
      <c r="H41" s="11"/>
      <c r="I41" s="11"/>
      <c r="J41" s="11"/>
      <c r="K41" s="11"/>
      <c r="L41" s="11"/>
      <c r="M41" s="11"/>
      <c r="N41" s="11"/>
      <c r="O41" s="11"/>
    </row>
    <row r="42" spans="2:15" ht="14.4" customHeight="1" x14ac:dyDescent="0.3">
      <c r="B42" s="62"/>
      <c r="C42" s="62"/>
      <c r="D42" s="11"/>
      <c r="E42" s="11"/>
      <c r="F42" s="11"/>
      <c r="G42" s="11"/>
      <c r="H42" s="11"/>
      <c r="I42" s="11"/>
      <c r="J42" s="11"/>
      <c r="K42" s="11"/>
      <c r="L42" s="11"/>
      <c r="M42" s="11"/>
      <c r="N42" s="11"/>
      <c r="O42" s="11"/>
    </row>
    <row r="43" spans="2:15" ht="14.4" customHeight="1" x14ac:dyDescent="0.3">
      <c r="B43" s="62"/>
      <c r="C43" s="62"/>
      <c r="D43" s="11"/>
      <c r="E43" s="11"/>
      <c r="F43" s="11"/>
      <c r="G43" s="11"/>
      <c r="H43" s="11"/>
      <c r="I43" s="11"/>
      <c r="J43" s="11"/>
      <c r="K43" s="11"/>
      <c r="L43" s="11"/>
      <c r="M43" s="11"/>
      <c r="N43" s="11"/>
      <c r="O43" s="11"/>
    </row>
    <row r="46" spans="2:15" ht="14.4" customHeight="1" x14ac:dyDescent="0.3"/>
  </sheetData>
  <mergeCells count="29">
    <mergeCell ref="B41:C41"/>
    <mergeCell ref="B42:C42"/>
    <mergeCell ref="B43:C43"/>
    <mergeCell ref="B40:C40"/>
    <mergeCell ref="B23:O29"/>
    <mergeCell ref="B38:C38"/>
    <mergeCell ref="B39:C39"/>
    <mergeCell ref="B32:C33"/>
    <mergeCell ref="D32:G32"/>
    <mergeCell ref="H32:K32"/>
    <mergeCell ref="L32:O32"/>
    <mergeCell ref="B31:O31"/>
    <mergeCell ref="B37:C37"/>
    <mergeCell ref="B36:C36"/>
    <mergeCell ref="B35:C35"/>
    <mergeCell ref="B34:C34"/>
    <mergeCell ref="D10:O10"/>
    <mergeCell ref="B22:O22"/>
    <mergeCell ref="B13:O13"/>
    <mergeCell ref="B2:O2"/>
    <mergeCell ref="D3:O3"/>
    <mergeCell ref="D4:O4"/>
    <mergeCell ref="D5:O5"/>
    <mergeCell ref="D7:O7"/>
    <mergeCell ref="D6:O6"/>
    <mergeCell ref="D8:O8"/>
    <mergeCell ref="D9:O9"/>
    <mergeCell ref="D11:O11"/>
    <mergeCell ref="B14:O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CE878-B384-45A7-84DF-3A9C347B5BB0}">
  <dimension ref="B2:M24"/>
  <sheetViews>
    <sheetView workbookViewId="0">
      <selection activeCell="C3" sqref="C3"/>
    </sheetView>
  </sheetViews>
  <sheetFormatPr defaultRowHeight="14.4" x14ac:dyDescent="0.3"/>
  <cols>
    <col min="1" max="1" width="3.6640625" customWidth="1"/>
    <col min="2" max="2" width="35.109375" bestFit="1" customWidth="1"/>
    <col min="3" max="3" width="2.33203125" style="1" customWidth="1"/>
  </cols>
  <sheetData>
    <row r="2" spans="2:13" ht="21" x14ac:dyDescent="0.3">
      <c r="B2" s="59" t="s">
        <v>18</v>
      </c>
      <c r="C2" s="59"/>
      <c r="D2" s="59"/>
      <c r="E2" s="59"/>
      <c r="F2" s="59"/>
      <c r="G2" s="59"/>
      <c r="H2" s="59"/>
      <c r="I2" s="59"/>
      <c r="J2" s="59"/>
      <c r="K2" s="59"/>
      <c r="L2" s="59"/>
      <c r="M2" s="59"/>
    </row>
    <row r="3" spans="2:13" x14ac:dyDescent="0.3">
      <c r="B3" s="24" t="s">
        <v>19</v>
      </c>
      <c r="C3" s="32" t="s">
        <v>2</v>
      </c>
      <c r="D3" s="62"/>
      <c r="E3" s="62"/>
      <c r="F3" s="62"/>
      <c r="G3" s="62"/>
      <c r="H3" s="62"/>
      <c r="I3" s="62"/>
      <c r="J3" s="62"/>
      <c r="K3" s="62"/>
      <c r="L3" s="62"/>
      <c r="M3" s="62"/>
    </row>
    <row r="4" spans="2:13" x14ac:dyDescent="0.3">
      <c r="B4" s="24" t="s">
        <v>20</v>
      </c>
      <c r="C4" s="32" t="s">
        <v>2</v>
      </c>
      <c r="D4" s="62"/>
      <c r="E4" s="62"/>
      <c r="F4" s="62"/>
      <c r="G4" s="62"/>
      <c r="H4" s="62"/>
      <c r="I4" s="62"/>
      <c r="J4" s="62"/>
      <c r="K4" s="62"/>
      <c r="L4" s="62"/>
      <c r="M4" s="62"/>
    </row>
    <row r="5" spans="2:13" x14ac:dyDescent="0.3">
      <c r="B5" s="24" t="s">
        <v>21</v>
      </c>
      <c r="C5" s="32" t="s">
        <v>2</v>
      </c>
      <c r="D5" s="62"/>
      <c r="E5" s="62"/>
      <c r="F5" s="62"/>
      <c r="G5" s="62"/>
      <c r="H5" s="62"/>
      <c r="I5" s="62"/>
      <c r="J5" s="62"/>
      <c r="K5" s="62"/>
      <c r="L5" s="62"/>
      <c r="M5" s="62"/>
    </row>
    <row r="6" spans="2:13" x14ac:dyDescent="0.3">
      <c r="B6" s="24" t="s">
        <v>22</v>
      </c>
      <c r="C6" s="32" t="s">
        <v>2</v>
      </c>
      <c r="D6" s="62"/>
      <c r="E6" s="62"/>
      <c r="F6" s="62"/>
      <c r="G6" s="62"/>
      <c r="H6" s="62"/>
      <c r="I6" s="62"/>
      <c r="J6" s="62"/>
      <c r="K6" s="62"/>
      <c r="L6" s="62"/>
      <c r="M6" s="62"/>
    </row>
    <row r="7" spans="2:13" x14ac:dyDescent="0.3">
      <c r="B7" s="24" t="s">
        <v>23</v>
      </c>
      <c r="C7" s="32" t="s">
        <v>2</v>
      </c>
      <c r="D7" s="62"/>
      <c r="E7" s="62"/>
      <c r="F7" s="62"/>
      <c r="G7" s="62"/>
      <c r="H7" s="62"/>
      <c r="I7" s="62"/>
      <c r="J7" s="62"/>
      <c r="K7" s="62"/>
      <c r="L7" s="62"/>
      <c r="M7" s="62"/>
    </row>
    <row r="8" spans="2:13" x14ac:dyDescent="0.3">
      <c r="B8" s="24" t="s">
        <v>24</v>
      </c>
      <c r="C8" s="32" t="s">
        <v>2</v>
      </c>
      <c r="D8" s="62"/>
      <c r="E8" s="62"/>
      <c r="F8" s="62"/>
      <c r="G8" s="62"/>
      <c r="H8" s="62"/>
      <c r="I8" s="62"/>
      <c r="J8" s="62"/>
      <c r="K8" s="62"/>
      <c r="L8" s="62"/>
      <c r="M8" s="62"/>
    </row>
    <row r="9" spans="2:13" x14ac:dyDescent="0.3">
      <c r="B9" s="24" t="s">
        <v>25</v>
      </c>
      <c r="C9" s="32" t="s">
        <v>2</v>
      </c>
      <c r="D9" s="62"/>
      <c r="E9" s="62"/>
      <c r="F9" s="62"/>
      <c r="G9" s="62"/>
      <c r="H9" s="62"/>
      <c r="I9" s="62"/>
      <c r="J9" s="62"/>
      <c r="K9" s="62"/>
      <c r="L9" s="62"/>
      <c r="M9" s="62"/>
    </row>
    <row r="10" spans="2:13" x14ac:dyDescent="0.3">
      <c r="B10" s="24" t="s">
        <v>26</v>
      </c>
      <c r="C10" s="32" t="s">
        <v>2</v>
      </c>
      <c r="D10" s="62"/>
      <c r="E10" s="62"/>
      <c r="F10" s="62"/>
      <c r="G10" s="62"/>
      <c r="H10" s="62"/>
      <c r="I10" s="62"/>
      <c r="J10" s="62"/>
      <c r="K10" s="62"/>
      <c r="L10" s="62"/>
      <c r="M10" s="62"/>
    </row>
    <row r="12" spans="2:13" ht="15.6" x14ac:dyDescent="0.3">
      <c r="B12" s="81" t="s">
        <v>27</v>
      </c>
      <c r="C12" s="81"/>
      <c r="D12" s="81"/>
      <c r="E12" s="81"/>
      <c r="F12" s="81"/>
      <c r="G12" s="81"/>
      <c r="H12" s="81"/>
      <c r="I12" s="81"/>
      <c r="J12" s="81"/>
      <c r="K12" s="81"/>
      <c r="L12" s="81"/>
      <c r="M12" s="81"/>
    </row>
    <row r="13" spans="2:13" ht="14.4" customHeight="1" x14ac:dyDescent="0.3">
      <c r="B13" s="72"/>
      <c r="C13" s="73"/>
      <c r="D13" s="73"/>
      <c r="E13" s="73"/>
      <c r="F13" s="73"/>
      <c r="G13" s="73"/>
      <c r="H13" s="73"/>
      <c r="I13" s="73"/>
      <c r="J13" s="73"/>
      <c r="K13" s="73"/>
      <c r="L13" s="73"/>
      <c r="M13" s="74"/>
    </row>
    <row r="14" spans="2:13" ht="14.4" customHeight="1" x14ac:dyDescent="0.3">
      <c r="B14" s="75"/>
      <c r="C14" s="76"/>
      <c r="D14" s="76"/>
      <c r="E14" s="76"/>
      <c r="F14" s="76"/>
      <c r="G14" s="76"/>
      <c r="H14" s="76"/>
      <c r="I14" s="76"/>
      <c r="J14" s="76"/>
      <c r="K14" s="76"/>
      <c r="L14" s="76"/>
      <c r="M14" s="77"/>
    </row>
    <row r="15" spans="2:13" ht="14.4" customHeight="1" x14ac:dyDescent="0.3">
      <c r="B15" s="75"/>
      <c r="C15" s="76"/>
      <c r="D15" s="76"/>
      <c r="E15" s="76"/>
      <c r="F15" s="76"/>
      <c r="G15" s="76"/>
      <c r="H15" s="76"/>
      <c r="I15" s="76"/>
      <c r="J15" s="76"/>
      <c r="K15" s="76"/>
      <c r="L15" s="76"/>
      <c r="M15" s="77"/>
    </row>
    <row r="16" spans="2:13" x14ac:dyDescent="0.3">
      <c r="B16" s="75"/>
      <c r="C16" s="76"/>
      <c r="D16" s="76"/>
      <c r="E16" s="76"/>
      <c r="F16" s="76"/>
      <c r="G16" s="76"/>
      <c r="H16" s="76"/>
      <c r="I16" s="76"/>
      <c r="J16" s="76"/>
      <c r="K16" s="76"/>
      <c r="L16" s="76"/>
      <c r="M16" s="77"/>
    </row>
    <row r="17" spans="2:13" x14ac:dyDescent="0.3">
      <c r="B17" s="78"/>
      <c r="C17" s="79"/>
      <c r="D17" s="79"/>
      <c r="E17" s="79"/>
      <c r="F17" s="79"/>
      <c r="G17" s="79"/>
      <c r="H17" s="79"/>
      <c r="I17" s="79"/>
      <c r="J17" s="79"/>
      <c r="K17" s="79"/>
      <c r="L17" s="79"/>
      <c r="M17" s="80"/>
    </row>
    <row r="19" spans="2:13" ht="15.6" x14ac:dyDescent="0.3">
      <c r="B19" s="81" t="s">
        <v>28</v>
      </c>
      <c r="C19" s="81"/>
      <c r="D19" s="81"/>
      <c r="E19" s="81"/>
      <c r="F19" s="81"/>
      <c r="G19" s="81"/>
      <c r="H19" s="81"/>
      <c r="I19" s="81"/>
      <c r="J19" s="81"/>
      <c r="K19" s="81"/>
      <c r="L19" s="81"/>
      <c r="M19" s="81"/>
    </row>
    <row r="20" spans="2:13" ht="14.4" customHeight="1" x14ac:dyDescent="0.3">
      <c r="B20" s="72"/>
      <c r="C20" s="73"/>
      <c r="D20" s="73"/>
      <c r="E20" s="73"/>
      <c r="F20" s="73"/>
      <c r="G20" s="73"/>
      <c r="H20" s="73"/>
      <c r="I20" s="73"/>
      <c r="J20" s="73"/>
      <c r="K20" s="73"/>
      <c r="L20" s="73"/>
      <c r="M20" s="74"/>
    </row>
    <row r="21" spans="2:13" ht="14.4" customHeight="1" x14ac:dyDescent="0.3">
      <c r="B21" s="75"/>
      <c r="C21" s="76"/>
      <c r="D21" s="76"/>
      <c r="E21" s="76"/>
      <c r="F21" s="76"/>
      <c r="G21" s="76"/>
      <c r="H21" s="76"/>
      <c r="I21" s="76"/>
      <c r="J21" s="76"/>
      <c r="K21" s="76"/>
      <c r="L21" s="76"/>
      <c r="M21" s="77"/>
    </row>
    <row r="22" spans="2:13" ht="14.4" customHeight="1" x14ac:dyDescent="0.3">
      <c r="B22" s="75"/>
      <c r="C22" s="76"/>
      <c r="D22" s="76"/>
      <c r="E22" s="76"/>
      <c r="F22" s="76"/>
      <c r="G22" s="76"/>
      <c r="H22" s="76"/>
      <c r="I22" s="76"/>
      <c r="J22" s="76"/>
      <c r="K22" s="76"/>
      <c r="L22" s="76"/>
      <c r="M22" s="77"/>
    </row>
    <row r="23" spans="2:13" x14ac:dyDescent="0.3">
      <c r="B23" s="75"/>
      <c r="C23" s="76"/>
      <c r="D23" s="76"/>
      <c r="E23" s="76"/>
      <c r="F23" s="76"/>
      <c r="G23" s="76"/>
      <c r="H23" s="76"/>
      <c r="I23" s="76"/>
      <c r="J23" s="76"/>
      <c r="K23" s="76"/>
      <c r="L23" s="76"/>
      <c r="M23" s="77"/>
    </row>
    <row r="24" spans="2:13" ht="14.4" customHeight="1" x14ac:dyDescent="0.3">
      <c r="B24" s="78"/>
      <c r="C24" s="79"/>
      <c r="D24" s="79"/>
      <c r="E24" s="79"/>
      <c r="F24" s="79"/>
      <c r="G24" s="79"/>
      <c r="H24" s="79"/>
      <c r="I24" s="79"/>
      <c r="J24" s="79"/>
      <c r="K24" s="79"/>
      <c r="L24" s="79"/>
      <c r="M24" s="80"/>
    </row>
  </sheetData>
  <mergeCells count="13">
    <mergeCell ref="B13:M17"/>
    <mergeCell ref="B19:M19"/>
    <mergeCell ref="B20:M24"/>
    <mergeCell ref="B2:M2"/>
    <mergeCell ref="D3:M3"/>
    <mergeCell ref="D4:M4"/>
    <mergeCell ref="D5:M5"/>
    <mergeCell ref="D6:M6"/>
    <mergeCell ref="D7:M7"/>
    <mergeCell ref="D8:M8"/>
    <mergeCell ref="D9:M9"/>
    <mergeCell ref="D10:M10"/>
    <mergeCell ref="B12:M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0F841-ACA9-4190-93A3-8304E5C1B31B}">
  <dimension ref="B1:S42"/>
  <sheetViews>
    <sheetView topLeftCell="A17" workbookViewId="0">
      <selection activeCell="C32" sqref="C32:F32"/>
    </sheetView>
  </sheetViews>
  <sheetFormatPr defaultRowHeight="15" customHeight="1" x14ac:dyDescent="0.3"/>
  <cols>
    <col min="1" max="1" width="3.5546875" customWidth="1"/>
    <col min="2" max="2" width="3.5546875" style="1" customWidth="1"/>
    <col min="3" max="3" width="22" customWidth="1"/>
    <col min="4" max="4" width="19.44140625" customWidth="1"/>
    <col min="5" max="5" width="9.5546875" customWidth="1"/>
    <col min="6" max="6" width="19.44140625" customWidth="1"/>
    <col min="8" max="8" width="3.5546875" customWidth="1"/>
    <col min="9" max="9" width="33.33203125" customWidth="1"/>
    <col min="10" max="12" width="18.33203125" customWidth="1"/>
  </cols>
  <sheetData>
    <row r="1" spans="2:13" ht="14.4" x14ac:dyDescent="0.3"/>
    <row r="2" spans="2:13" ht="21" x14ac:dyDescent="0.3">
      <c r="B2" s="81" t="s">
        <v>29</v>
      </c>
      <c r="C2" s="81"/>
      <c r="D2" s="81"/>
      <c r="E2" s="81"/>
      <c r="F2" s="81"/>
      <c r="H2" s="56" t="s">
        <v>30</v>
      </c>
      <c r="I2" s="57"/>
      <c r="J2" s="57"/>
      <c r="K2" s="57"/>
      <c r="L2" s="58"/>
    </row>
    <row r="3" spans="2:13" ht="14.4" x14ac:dyDescent="0.3">
      <c r="B3" s="92" t="s">
        <v>31</v>
      </c>
      <c r="C3" s="93"/>
      <c r="D3" s="36"/>
      <c r="E3" s="47"/>
      <c r="F3" s="48"/>
      <c r="H3" s="51"/>
      <c r="I3" s="54"/>
      <c r="J3" s="31" t="s">
        <v>32</v>
      </c>
      <c r="K3" s="31" t="s">
        <v>33</v>
      </c>
      <c r="L3" s="31" t="s">
        <v>34</v>
      </c>
    </row>
    <row r="4" spans="2:13" ht="14.4" x14ac:dyDescent="0.3">
      <c r="B4" s="92" t="s">
        <v>35</v>
      </c>
      <c r="C4" s="93"/>
      <c r="D4" s="36"/>
      <c r="E4" s="36"/>
      <c r="F4" s="48"/>
      <c r="H4" s="51" t="s">
        <v>36</v>
      </c>
      <c r="I4" s="51"/>
      <c r="J4" s="33">
        <v>0</v>
      </c>
      <c r="K4" s="33">
        <f>J20</f>
        <v>5000000</v>
      </c>
      <c r="L4" s="33">
        <f>K20</f>
        <v>19100000</v>
      </c>
    </row>
    <row r="5" spans="2:13" ht="14.4" x14ac:dyDescent="0.3">
      <c r="B5" s="92" t="s">
        <v>37</v>
      </c>
      <c r="C5" s="93"/>
      <c r="D5" s="36"/>
      <c r="E5" s="36"/>
      <c r="F5" s="48"/>
      <c r="H5" s="54"/>
      <c r="I5" s="54"/>
      <c r="J5" s="34"/>
      <c r="K5" s="34"/>
      <c r="L5" s="34"/>
    </row>
    <row r="6" spans="2:13" ht="15" customHeight="1" x14ac:dyDescent="0.3">
      <c r="B6" s="95" t="s">
        <v>38</v>
      </c>
      <c r="C6" s="96"/>
      <c r="D6" s="49"/>
      <c r="E6" s="49"/>
      <c r="F6" s="50"/>
      <c r="H6" s="51" t="s">
        <v>39</v>
      </c>
      <c r="I6" s="51"/>
      <c r="J6" s="34"/>
      <c r="K6" s="34"/>
      <c r="L6" s="34"/>
    </row>
    <row r="7" spans="2:13" ht="14.4" x14ac:dyDescent="0.3">
      <c r="B7"/>
      <c r="H7" s="35">
        <v>1</v>
      </c>
      <c r="I7" s="54" t="s">
        <v>40</v>
      </c>
      <c r="J7" s="34"/>
      <c r="K7" s="34">
        <v>40000000</v>
      </c>
      <c r="L7" s="34">
        <v>40000000</v>
      </c>
    </row>
    <row r="8" spans="2:13" ht="14.4" x14ac:dyDescent="0.3">
      <c r="B8" s="82" t="s">
        <v>41</v>
      </c>
      <c r="C8" s="82"/>
      <c r="D8" s="82"/>
      <c r="E8" s="82"/>
      <c r="F8" s="82"/>
      <c r="H8" s="35">
        <v>2</v>
      </c>
      <c r="I8" s="53" t="s">
        <v>42</v>
      </c>
      <c r="J8" s="34">
        <v>30000000</v>
      </c>
      <c r="K8" s="34">
        <v>30000000</v>
      </c>
      <c r="L8" s="34"/>
    </row>
    <row r="9" spans="2:13" ht="15" customHeight="1" x14ac:dyDescent="0.4">
      <c r="B9" s="82"/>
      <c r="C9" s="82"/>
      <c r="D9" s="82"/>
      <c r="E9" s="82"/>
      <c r="F9" s="82"/>
      <c r="H9" s="35"/>
      <c r="I9" s="54"/>
      <c r="J9" s="34"/>
      <c r="K9" s="34"/>
      <c r="L9" s="34"/>
      <c r="M9" s="27"/>
    </row>
    <row r="10" spans="2:13" ht="14.4" x14ac:dyDescent="0.3">
      <c r="B10" s="45" t="s">
        <v>43</v>
      </c>
      <c r="C10" s="45" t="s">
        <v>44</v>
      </c>
      <c r="D10" s="45" t="s">
        <v>45</v>
      </c>
      <c r="E10" s="46" t="s">
        <v>46</v>
      </c>
      <c r="F10" s="45" t="s">
        <v>47</v>
      </c>
      <c r="H10" s="51" t="s">
        <v>48</v>
      </c>
      <c r="I10" s="51"/>
      <c r="J10" s="33">
        <f>SUM(J7:J9)</f>
        <v>30000000</v>
      </c>
      <c r="K10" s="33">
        <f>SUM(K7:K9)</f>
        <v>70000000</v>
      </c>
      <c r="L10" s="33">
        <f>SUM(L7:L9)</f>
        <v>40000000</v>
      </c>
      <c r="M10" s="28"/>
    </row>
    <row r="11" spans="2:13" s="3" customFormat="1" ht="14.4" x14ac:dyDescent="0.3">
      <c r="B11" s="7">
        <v>1</v>
      </c>
      <c r="C11" s="8"/>
      <c r="D11" s="8"/>
      <c r="E11" s="8"/>
      <c r="F11" s="9">
        <f>E11*D11</f>
        <v>0</v>
      </c>
      <c r="H11" s="54"/>
      <c r="I11" s="54"/>
      <c r="J11" s="34"/>
      <c r="K11" s="34"/>
      <c r="L11" s="34"/>
      <c r="M11" s="22"/>
    </row>
    <row r="12" spans="2:13" ht="14.4" x14ac:dyDescent="0.3">
      <c r="B12" s="4">
        <v>2</v>
      </c>
      <c r="C12" s="2"/>
      <c r="D12" s="2"/>
      <c r="E12" s="2"/>
      <c r="F12" s="5">
        <f t="shared" ref="F12:F20" si="0">E12*D12</f>
        <v>0</v>
      </c>
      <c r="H12" s="51" t="s">
        <v>49</v>
      </c>
      <c r="I12" s="51"/>
      <c r="J12" s="34"/>
      <c r="K12" s="34"/>
      <c r="L12" s="34"/>
    </row>
    <row r="13" spans="2:13" ht="14.4" x14ac:dyDescent="0.3">
      <c r="B13" s="4">
        <v>3</v>
      </c>
      <c r="C13" s="2"/>
      <c r="D13" s="2"/>
      <c r="E13" s="2"/>
      <c r="F13" s="5">
        <f t="shared" si="0"/>
        <v>0</v>
      </c>
      <c r="H13" s="35">
        <v>1</v>
      </c>
      <c r="I13" s="54" t="s">
        <v>50</v>
      </c>
      <c r="J13" s="34">
        <v>25000000</v>
      </c>
      <c r="K13" s="34">
        <v>25000000</v>
      </c>
      <c r="L13" s="34">
        <v>25000000</v>
      </c>
    </row>
    <row r="14" spans="2:13" ht="14.4" x14ac:dyDescent="0.3">
      <c r="B14" s="4">
        <v>4</v>
      </c>
      <c r="C14" s="2"/>
      <c r="D14" s="2"/>
      <c r="E14" s="2"/>
      <c r="F14" s="5">
        <f t="shared" si="0"/>
        <v>0</v>
      </c>
      <c r="H14" s="35">
        <v>2</v>
      </c>
      <c r="I14" s="54" t="s">
        <v>51</v>
      </c>
      <c r="J14" s="34"/>
      <c r="K14" s="34">
        <v>30000000</v>
      </c>
      <c r="L14" s="34">
        <v>30000000</v>
      </c>
    </row>
    <row r="15" spans="2:13" ht="14.4" x14ac:dyDescent="0.3">
      <c r="B15" s="4">
        <v>5</v>
      </c>
      <c r="C15" s="2"/>
      <c r="D15" s="2"/>
      <c r="E15" s="2"/>
      <c r="F15" s="5">
        <f t="shared" si="0"/>
        <v>0</v>
      </c>
      <c r="H15" s="35">
        <v>3</v>
      </c>
      <c r="I15" s="53" t="s">
        <v>52</v>
      </c>
      <c r="J15" s="34"/>
      <c r="K15" s="34">
        <f>K14*3%</f>
        <v>900000</v>
      </c>
      <c r="L15" s="34">
        <f>L14*3%</f>
        <v>900000</v>
      </c>
    </row>
    <row r="16" spans="2:13" ht="14.4" x14ac:dyDescent="0.3">
      <c r="B16" s="4">
        <v>6</v>
      </c>
      <c r="C16" s="2"/>
      <c r="D16" s="2"/>
      <c r="E16" s="2"/>
      <c r="F16" s="5">
        <f t="shared" si="0"/>
        <v>0</v>
      </c>
      <c r="H16" s="94" t="s">
        <v>53</v>
      </c>
      <c r="I16" s="94"/>
      <c r="J16" s="33">
        <f>SUM(J13:J15)</f>
        <v>25000000</v>
      </c>
      <c r="K16" s="33">
        <f>SUM(K13:K15)</f>
        <v>55900000</v>
      </c>
      <c r="L16" s="33">
        <f>SUM(L13:L15)</f>
        <v>55900000</v>
      </c>
    </row>
    <row r="17" spans="2:19" ht="14.4" x14ac:dyDescent="0.3">
      <c r="B17" s="4">
        <v>7</v>
      </c>
      <c r="C17" s="2"/>
      <c r="D17" s="2"/>
      <c r="E17" s="2"/>
      <c r="F17" s="5">
        <f t="shared" si="0"/>
        <v>0</v>
      </c>
      <c r="H17" s="54"/>
      <c r="I17" s="54"/>
      <c r="J17" s="34"/>
      <c r="K17" s="34"/>
      <c r="L17" s="34"/>
      <c r="M17" s="22"/>
      <c r="N17" s="22"/>
      <c r="O17" s="22"/>
      <c r="P17" s="22"/>
      <c r="Q17" s="22"/>
      <c r="R17" s="22"/>
      <c r="S17" s="22"/>
    </row>
    <row r="18" spans="2:19" ht="14.4" x14ac:dyDescent="0.3">
      <c r="B18" s="4">
        <v>8</v>
      </c>
      <c r="C18" s="2"/>
      <c r="D18" s="2"/>
      <c r="E18" s="2"/>
      <c r="F18" s="5">
        <f t="shared" si="0"/>
        <v>0</v>
      </c>
      <c r="H18" s="94" t="s">
        <v>54</v>
      </c>
      <c r="I18" s="94"/>
      <c r="J18" s="33">
        <f>J10-J16</f>
        <v>5000000</v>
      </c>
      <c r="K18" s="33">
        <f>K10-K16</f>
        <v>14100000</v>
      </c>
      <c r="L18" s="33">
        <f>L10-L16</f>
        <v>-15900000</v>
      </c>
    </row>
    <row r="19" spans="2:19" ht="14.4" x14ac:dyDescent="0.3">
      <c r="B19" s="4">
        <v>9</v>
      </c>
      <c r="C19" s="2"/>
      <c r="D19" s="2"/>
      <c r="E19" s="2"/>
      <c r="F19" s="5">
        <f t="shared" si="0"/>
        <v>0</v>
      </c>
      <c r="H19" s="54"/>
      <c r="I19" s="54"/>
      <c r="J19" s="34"/>
      <c r="K19" s="34"/>
      <c r="L19" s="34"/>
    </row>
    <row r="20" spans="2:19" ht="14.4" x14ac:dyDescent="0.3">
      <c r="B20" s="4">
        <v>10</v>
      </c>
      <c r="C20" s="2"/>
      <c r="D20" s="2"/>
      <c r="E20" s="2"/>
      <c r="F20" s="5">
        <f t="shared" si="0"/>
        <v>0</v>
      </c>
      <c r="H20" s="94" t="s">
        <v>55</v>
      </c>
      <c r="I20" s="94"/>
      <c r="J20" s="33">
        <f>J4+J18</f>
        <v>5000000</v>
      </c>
      <c r="K20" s="33">
        <f>K4+K18</f>
        <v>19100000</v>
      </c>
      <c r="L20" s="33">
        <f>L4+L18</f>
        <v>3200000</v>
      </c>
    </row>
    <row r="21" spans="2:19" ht="14.4" x14ac:dyDescent="0.3">
      <c r="B21" s="83" t="s">
        <v>56</v>
      </c>
      <c r="C21" s="84"/>
      <c r="D21" s="84"/>
      <c r="E21" s="85"/>
      <c r="F21" s="6">
        <f>SUM(F11:F20)</f>
        <v>0</v>
      </c>
    </row>
    <row r="22" spans="2:19" ht="14.4" x14ac:dyDescent="0.3"/>
    <row r="23" spans="2:19" ht="14.4" x14ac:dyDescent="0.3">
      <c r="B23" s="86" t="s">
        <v>57</v>
      </c>
      <c r="C23" s="87"/>
      <c r="D23" s="87"/>
      <c r="E23" s="87"/>
      <c r="F23" s="88"/>
      <c r="M23" s="22"/>
      <c r="N23" s="22"/>
      <c r="O23" s="22"/>
      <c r="P23" s="22"/>
      <c r="Q23" s="22"/>
      <c r="R23" s="22"/>
      <c r="S23" s="22"/>
    </row>
    <row r="24" spans="2:19" ht="14.4" x14ac:dyDescent="0.3">
      <c r="B24" s="89"/>
      <c r="C24" s="90"/>
      <c r="D24" s="90"/>
      <c r="E24" s="90"/>
      <c r="F24" s="91"/>
    </row>
    <row r="25" spans="2:19" ht="14.4" x14ac:dyDescent="0.3">
      <c r="B25" s="10" t="s">
        <v>43</v>
      </c>
      <c r="C25" s="10" t="s">
        <v>44</v>
      </c>
      <c r="D25" s="10" t="s">
        <v>58</v>
      </c>
      <c r="E25" s="10" t="s">
        <v>46</v>
      </c>
      <c r="F25" s="10" t="s">
        <v>59</v>
      </c>
      <c r="M25" s="22"/>
      <c r="N25" s="22"/>
      <c r="O25" s="22"/>
      <c r="P25" s="22"/>
      <c r="Q25" s="22"/>
      <c r="R25" s="22"/>
      <c r="S25" s="22"/>
    </row>
    <row r="26" spans="2:19" s="3" customFormat="1" ht="27.9" customHeight="1" x14ac:dyDescent="0.3">
      <c r="B26" s="4">
        <v>1</v>
      </c>
      <c r="C26" s="2"/>
      <c r="D26" s="2"/>
      <c r="E26" s="2"/>
      <c r="F26" s="5">
        <f t="shared" ref="F26:F35" si="1">E26*D26</f>
        <v>0</v>
      </c>
      <c r="M26"/>
      <c r="N26"/>
      <c r="O26"/>
      <c r="P26"/>
      <c r="Q26"/>
      <c r="R26"/>
      <c r="S26"/>
    </row>
    <row r="27" spans="2:19" ht="14.4" x14ac:dyDescent="0.3">
      <c r="B27" s="4">
        <v>2</v>
      </c>
      <c r="C27" s="2"/>
      <c r="D27" s="2"/>
      <c r="E27" s="2"/>
      <c r="F27" s="5">
        <f t="shared" si="1"/>
        <v>0</v>
      </c>
      <c r="M27" s="22"/>
      <c r="N27" s="22"/>
      <c r="O27" s="22"/>
      <c r="P27" s="22"/>
      <c r="Q27" s="22"/>
      <c r="R27" s="22"/>
      <c r="S27" s="22"/>
    </row>
    <row r="28" spans="2:19" ht="14.4" x14ac:dyDescent="0.3">
      <c r="B28" s="4">
        <v>3</v>
      </c>
      <c r="C28" s="2"/>
      <c r="D28" s="2"/>
      <c r="E28" s="2"/>
      <c r="F28" s="5">
        <f t="shared" si="1"/>
        <v>0</v>
      </c>
      <c r="H28" s="14"/>
      <c r="I28" s="14"/>
      <c r="J28" s="14"/>
      <c r="K28" s="14"/>
      <c r="L28" s="14"/>
    </row>
    <row r="29" spans="2:19" ht="14.4" x14ac:dyDescent="0.3">
      <c r="B29" s="4">
        <v>4</v>
      </c>
      <c r="C29" s="2"/>
      <c r="D29" s="2"/>
      <c r="E29" s="2"/>
      <c r="F29" s="5">
        <f t="shared" si="1"/>
        <v>0</v>
      </c>
      <c r="L29" s="14"/>
    </row>
    <row r="30" spans="2:19" ht="14.4" x14ac:dyDescent="0.3">
      <c r="B30" s="4">
        <v>5</v>
      </c>
      <c r="C30" s="2"/>
      <c r="D30" s="2"/>
      <c r="E30" s="2"/>
      <c r="F30" s="5">
        <f t="shared" si="1"/>
        <v>0</v>
      </c>
      <c r="L30" s="14"/>
    </row>
    <row r="31" spans="2:19" ht="14.4" x14ac:dyDescent="0.3">
      <c r="B31" s="4">
        <v>6</v>
      </c>
      <c r="C31" s="2"/>
      <c r="D31" s="2"/>
      <c r="E31" s="2"/>
      <c r="F31" s="5">
        <f t="shared" si="1"/>
        <v>0</v>
      </c>
      <c r="L31" s="14"/>
    </row>
    <row r="32" spans="2:19" ht="14.4" x14ac:dyDescent="0.3">
      <c r="B32" s="4">
        <v>7</v>
      </c>
      <c r="C32" s="2"/>
      <c r="D32" s="2"/>
      <c r="E32" s="2"/>
      <c r="F32" s="5">
        <f t="shared" si="1"/>
        <v>0</v>
      </c>
      <c r="L32" s="14"/>
    </row>
    <row r="33" spans="2:12" ht="14.4" x14ac:dyDescent="0.3">
      <c r="B33" s="4">
        <v>8</v>
      </c>
      <c r="C33" s="2"/>
      <c r="D33" s="2"/>
      <c r="E33" s="2"/>
      <c r="F33" s="5">
        <f t="shared" si="1"/>
        <v>0</v>
      </c>
      <c r="L33" s="14"/>
    </row>
    <row r="34" spans="2:12" ht="14.4" x14ac:dyDescent="0.3">
      <c r="B34" s="4">
        <v>9</v>
      </c>
      <c r="C34" s="2"/>
      <c r="D34" s="2"/>
      <c r="E34" s="2"/>
      <c r="F34" s="5">
        <f t="shared" si="1"/>
        <v>0</v>
      </c>
      <c r="L34" s="14"/>
    </row>
    <row r="35" spans="2:12" ht="14.4" x14ac:dyDescent="0.3">
      <c r="B35" s="4">
        <v>10</v>
      </c>
      <c r="C35" s="2"/>
      <c r="D35" s="2"/>
      <c r="E35" s="2"/>
      <c r="F35" s="5">
        <f t="shared" si="1"/>
        <v>0</v>
      </c>
    </row>
    <row r="36" spans="2:12" ht="14.4" x14ac:dyDescent="0.3">
      <c r="B36" s="83" t="s">
        <v>56</v>
      </c>
      <c r="C36" s="84"/>
      <c r="D36" s="84"/>
      <c r="E36" s="85"/>
      <c r="F36" s="6">
        <f>SUM(F26:F35)</f>
        <v>0</v>
      </c>
    </row>
    <row r="37" spans="2:12" ht="14.4" x14ac:dyDescent="0.3"/>
    <row r="38" spans="2:12" ht="15" customHeight="1" x14ac:dyDescent="0.3">
      <c r="C38" s="11" t="s">
        <v>60</v>
      </c>
      <c r="D38" s="38">
        <f>F36</f>
        <v>0</v>
      </c>
      <c r="E38" s="38"/>
      <c r="F38" s="38"/>
    </row>
    <row r="39" spans="2:12" ht="14.4" x14ac:dyDescent="0.3">
      <c r="C39" s="11" t="s">
        <v>47</v>
      </c>
      <c r="D39" s="38">
        <f>F21</f>
        <v>0</v>
      </c>
      <c r="E39" s="38"/>
      <c r="F39" s="38"/>
    </row>
    <row r="40" spans="2:12" ht="14.4" x14ac:dyDescent="0.3">
      <c r="C40" s="11" t="s">
        <v>61</v>
      </c>
      <c r="D40" s="39">
        <f>D38-D39</f>
        <v>0</v>
      </c>
      <c r="E40" s="39"/>
      <c r="F40" s="39"/>
    </row>
    <row r="41" spans="2:12" ht="14.4" x14ac:dyDescent="0.3">
      <c r="C41" s="11" t="s">
        <v>62</v>
      </c>
      <c r="D41" s="37" t="e">
        <f>D40/D39</f>
        <v>#DIV/0!</v>
      </c>
      <c r="E41" s="37"/>
      <c r="F41" s="37"/>
    </row>
    <row r="42" spans="2:12" ht="14.4" x14ac:dyDescent="0.3"/>
  </sheetData>
  <mergeCells count="13">
    <mergeCell ref="B8:F9"/>
    <mergeCell ref="B36:E36"/>
    <mergeCell ref="B23:F24"/>
    <mergeCell ref="B21:E21"/>
    <mergeCell ref="H2:L2"/>
    <mergeCell ref="B3:C3"/>
    <mergeCell ref="B4:C4"/>
    <mergeCell ref="B2:F2"/>
    <mergeCell ref="H20:I20"/>
    <mergeCell ref="H16:I16"/>
    <mergeCell ref="H18:I18"/>
    <mergeCell ref="B5:C5"/>
    <mergeCell ref="B6:C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4FCB3-3FA4-4C3F-A668-2AEF99C99BCC}">
  <dimension ref="B2:N30"/>
  <sheetViews>
    <sheetView topLeftCell="A17" workbookViewId="0">
      <selection activeCell="I21" sqref="I21"/>
    </sheetView>
  </sheetViews>
  <sheetFormatPr defaultRowHeight="14.4" x14ac:dyDescent="0.3"/>
  <cols>
    <col min="1" max="2" width="4" customWidth="1"/>
    <col min="3" max="3" width="15.33203125" bestFit="1" customWidth="1"/>
    <col min="4" max="7" width="36.5546875" customWidth="1"/>
    <col min="8" max="9" width="18.33203125" customWidth="1"/>
  </cols>
  <sheetData>
    <row r="2" spans="2:14" ht="21" x14ac:dyDescent="0.4">
      <c r="B2" s="97" t="s">
        <v>63</v>
      </c>
      <c r="C2" s="97"/>
      <c r="D2" s="97"/>
      <c r="E2" s="97"/>
      <c r="F2" s="97"/>
      <c r="G2" s="97"/>
      <c r="H2" s="97"/>
      <c r="I2" s="97"/>
    </row>
    <row r="3" spans="2:14" ht="15.6" x14ac:dyDescent="0.3">
      <c r="B3" s="99" t="s">
        <v>64</v>
      </c>
      <c r="C3" s="99"/>
      <c r="D3" s="99"/>
      <c r="E3" s="99"/>
      <c r="F3" s="99"/>
      <c r="G3" s="99"/>
      <c r="H3" s="99"/>
      <c r="I3" s="99"/>
      <c r="J3" s="12"/>
      <c r="K3" s="12"/>
      <c r="L3" s="12"/>
      <c r="M3" s="12"/>
      <c r="N3" s="12"/>
    </row>
    <row r="4" spans="2:14" ht="15.6" x14ac:dyDescent="0.3">
      <c r="B4" s="12"/>
      <c r="C4" s="12"/>
      <c r="D4" s="12"/>
      <c r="E4" s="12"/>
      <c r="F4" s="12"/>
      <c r="G4" s="12"/>
      <c r="H4" s="12"/>
      <c r="I4" s="12"/>
      <c r="J4" s="12"/>
      <c r="K4" s="12"/>
      <c r="L4" s="12"/>
      <c r="M4" s="12"/>
      <c r="N4" s="12"/>
    </row>
    <row r="5" spans="2:14" ht="21" x14ac:dyDescent="0.4">
      <c r="B5" s="97" t="s">
        <v>65</v>
      </c>
      <c r="C5" s="97"/>
      <c r="D5" s="97"/>
      <c r="E5" s="97"/>
      <c r="F5" s="97"/>
      <c r="G5" s="97"/>
      <c r="H5" s="97"/>
      <c r="I5" s="97"/>
    </row>
    <row r="6" spans="2:14" x14ac:dyDescent="0.3">
      <c r="B6" s="99" t="s">
        <v>66</v>
      </c>
      <c r="C6" s="99"/>
      <c r="D6" s="99"/>
      <c r="E6" s="99"/>
      <c r="F6" s="99"/>
      <c r="G6" s="99"/>
      <c r="H6" s="99"/>
      <c r="I6" s="99"/>
      <c r="J6" s="98"/>
      <c r="K6" s="98"/>
      <c r="L6" s="98"/>
    </row>
    <row r="7" spans="2:14" x14ac:dyDescent="0.3">
      <c r="B7" s="99"/>
      <c r="C7" s="99"/>
      <c r="D7" s="99"/>
      <c r="E7" s="99"/>
      <c r="F7" s="99"/>
      <c r="G7" s="99"/>
      <c r="H7" s="99"/>
      <c r="I7" s="99"/>
      <c r="J7" s="98"/>
      <c r="K7" s="98"/>
      <c r="L7" s="98"/>
    </row>
    <row r="8" spans="2:14" ht="15.6" x14ac:dyDescent="0.3">
      <c r="B8" s="52"/>
      <c r="C8" s="52"/>
      <c r="D8" s="52"/>
      <c r="E8" s="52"/>
      <c r="F8" s="52"/>
      <c r="G8" s="52"/>
      <c r="H8" s="52"/>
      <c r="I8" s="52"/>
      <c r="J8" s="52"/>
      <c r="K8" s="52"/>
      <c r="L8" s="52"/>
    </row>
    <row r="9" spans="2:14" ht="21" x14ac:dyDescent="0.4">
      <c r="B9" s="97" t="s">
        <v>67</v>
      </c>
      <c r="C9" s="97"/>
      <c r="D9" s="97"/>
      <c r="E9" s="97"/>
    </row>
    <row r="10" spans="2:14" ht="15.6" x14ac:dyDescent="0.3">
      <c r="B10" s="25" t="s">
        <v>43</v>
      </c>
      <c r="C10" s="25" t="s">
        <v>68</v>
      </c>
      <c r="D10" s="25" t="s">
        <v>69</v>
      </c>
      <c r="E10" s="25" t="s">
        <v>70</v>
      </c>
    </row>
    <row r="11" spans="2:14" s="14" customFormat="1" ht="109.2" x14ac:dyDescent="0.3">
      <c r="B11" s="15">
        <v>1</v>
      </c>
      <c r="C11" s="16" t="s">
        <v>71</v>
      </c>
      <c r="D11" s="17" t="s">
        <v>72</v>
      </c>
      <c r="E11" s="16" t="s">
        <v>73</v>
      </c>
    </row>
    <row r="12" spans="2:14" s="14" customFormat="1" ht="78" x14ac:dyDescent="0.3">
      <c r="B12" s="15">
        <v>2</v>
      </c>
      <c r="C12" s="16" t="s">
        <v>74</v>
      </c>
      <c r="D12" s="17" t="s">
        <v>75</v>
      </c>
      <c r="E12" s="17" t="s">
        <v>76</v>
      </c>
    </row>
    <row r="13" spans="2:14" s="14" customFormat="1" ht="78" x14ac:dyDescent="0.3">
      <c r="B13" s="15">
        <v>3</v>
      </c>
      <c r="C13" s="16" t="s">
        <v>77</v>
      </c>
      <c r="D13" s="17" t="s">
        <v>78</v>
      </c>
      <c r="E13" s="17" t="s">
        <v>79</v>
      </c>
    </row>
    <row r="14" spans="2:14" s="14" customFormat="1" ht="93.6" x14ac:dyDescent="0.3">
      <c r="B14" s="15">
        <v>4</v>
      </c>
      <c r="C14" s="16" t="s">
        <v>80</v>
      </c>
      <c r="D14" s="17" t="s">
        <v>81</v>
      </c>
      <c r="E14" s="17" t="s">
        <v>82</v>
      </c>
    </row>
    <row r="15" spans="2:14" s="14" customFormat="1" ht="93.6" x14ac:dyDescent="0.3">
      <c r="B15" s="15">
        <v>5</v>
      </c>
      <c r="C15" s="16" t="s">
        <v>83</v>
      </c>
      <c r="D15" s="17" t="s">
        <v>84</v>
      </c>
      <c r="E15" s="17" t="s">
        <v>85</v>
      </c>
    </row>
    <row r="16" spans="2:14" s="14" customFormat="1" ht="62.4" x14ac:dyDescent="0.3">
      <c r="B16" s="15">
        <v>6</v>
      </c>
      <c r="C16" s="16" t="s">
        <v>86</v>
      </c>
      <c r="D16" s="17" t="s">
        <v>87</v>
      </c>
      <c r="E16" s="16" t="s">
        <v>88</v>
      </c>
    </row>
    <row r="17" spans="2:9" s="14" customFormat="1" ht="93.6" x14ac:dyDescent="0.3">
      <c r="B17" s="15">
        <v>7</v>
      </c>
      <c r="C17" s="16" t="s">
        <v>89</v>
      </c>
      <c r="D17" s="17" t="s">
        <v>90</v>
      </c>
      <c r="E17" s="16" t="s">
        <v>91</v>
      </c>
    </row>
    <row r="18" spans="2:9" s="14" customFormat="1" ht="15.6" x14ac:dyDescent="0.3">
      <c r="B18" s="20"/>
      <c r="C18" s="21"/>
      <c r="D18" s="12"/>
      <c r="E18" s="21"/>
    </row>
    <row r="19" spans="2:9" ht="21" x14ac:dyDescent="0.4">
      <c r="B19" s="97" t="s">
        <v>92</v>
      </c>
      <c r="C19" s="97"/>
      <c r="D19" s="97"/>
      <c r="E19" s="97"/>
      <c r="F19" s="97"/>
      <c r="G19" s="97"/>
      <c r="H19" s="97"/>
      <c r="I19" s="97"/>
    </row>
    <row r="20" spans="2:9" s="13" customFormat="1" ht="15.6" x14ac:dyDescent="0.3">
      <c r="B20" s="25" t="s">
        <v>43</v>
      </c>
      <c r="C20" s="26" t="s">
        <v>93</v>
      </c>
      <c r="D20" s="25" t="s">
        <v>74</v>
      </c>
      <c r="E20" s="25" t="s">
        <v>77</v>
      </c>
      <c r="F20" s="25" t="s">
        <v>80</v>
      </c>
      <c r="G20" s="25" t="s">
        <v>83</v>
      </c>
      <c r="H20" s="25" t="s">
        <v>94</v>
      </c>
      <c r="I20" s="25" t="s">
        <v>89</v>
      </c>
    </row>
    <row r="21" spans="2:9" ht="15.6" x14ac:dyDescent="0.3">
      <c r="B21" s="15">
        <v>1</v>
      </c>
      <c r="C21" s="17"/>
      <c r="D21" s="17"/>
      <c r="E21" s="17"/>
      <c r="F21" s="17"/>
      <c r="G21" s="17"/>
      <c r="H21" s="17"/>
      <c r="I21" s="17"/>
    </row>
    <row r="22" spans="2:9" ht="15.6" x14ac:dyDescent="0.3">
      <c r="B22" s="15">
        <v>2</v>
      </c>
      <c r="C22" s="17"/>
      <c r="D22" s="17"/>
      <c r="E22" s="17"/>
      <c r="F22" s="17"/>
      <c r="G22" s="17"/>
      <c r="H22" s="17"/>
      <c r="I22" s="17"/>
    </row>
    <row r="23" spans="2:9" ht="15.6" x14ac:dyDescent="0.3">
      <c r="B23" s="15">
        <v>3</v>
      </c>
      <c r="C23" s="17"/>
      <c r="D23" s="17"/>
      <c r="E23" s="17"/>
      <c r="F23" s="17"/>
      <c r="G23" s="17"/>
      <c r="H23" s="17"/>
      <c r="I23" s="17"/>
    </row>
    <row r="24" spans="2:9" ht="15.6" x14ac:dyDescent="0.3">
      <c r="B24" s="15">
        <v>4</v>
      </c>
      <c r="C24" s="17"/>
      <c r="D24" s="17"/>
      <c r="E24" s="17"/>
      <c r="F24" s="17"/>
      <c r="G24" s="17"/>
      <c r="H24" s="17"/>
      <c r="I24" s="17"/>
    </row>
    <row r="25" spans="2:9" ht="15.6" x14ac:dyDescent="0.3">
      <c r="B25" s="15">
        <v>5</v>
      </c>
      <c r="C25" s="17"/>
      <c r="D25" s="17"/>
      <c r="E25" s="17"/>
      <c r="F25" s="17"/>
      <c r="G25" s="17"/>
      <c r="H25" s="17"/>
      <c r="I25" s="17"/>
    </row>
    <row r="26" spans="2:9" ht="15.6" x14ac:dyDescent="0.3">
      <c r="B26" s="15">
        <v>6</v>
      </c>
      <c r="C26" s="17"/>
      <c r="D26" s="17"/>
      <c r="E26" s="17"/>
      <c r="F26" s="17"/>
      <c r="G26" s="17"/>
      <c r="H26" s="17"/>
      <c r="I26" s="17"/>
    </row>
    <row r="27" spans="2:9" ht="15.6" x14ac:dyDescent="0.3">
      <c r="B27" s="15">
        <v>7</v>
      </c>
      <c r="C27" s="17"/>
      <c r="D27" s="17"/>
      <c r="E27" s="17"/>
      <c r="F27" s="17"/>
      <c r="G27" s="17"/>
      <c r="H27" s="17"/>
      <c r="I27" s="17"/>
    </row>
    <row r="28" spans="2:9" ht="15.6" x14ac:dyDescent="0.3">
      <c r="B28" s="18">
        <v>8</v>
      </c>
      <c r="C28" s="19"/>
      <c r="D28" s="19"/>
      <c r="E28" s="19"/>
      <c r="F28" s="19"/>
      <c r="G28" s="19"/>
      <c r="H28" s="19"/>
      <c r="I28" s="19"/>
    </row>
    <row r="29" spans="2:9" ht="15.6" x14ac:dyDescent="0.3">
      <c r="B29" s="15">
        <v>9</v>
      </c>
      <c r="C29" s="17"/>
      <c r="D29" s="17"/>
      <c r="E29" s="17"/>
      <c r="F29" s="17"/>
      <c r="G29" s="17"/>
      <c r="H29" s="17"/>
      <c r="I29" s="17"/>
    </row>
    <row r="30" spans="2:9" ht="15.6" x14ac:dyDescent="0.3">
      <c r="B30" s="15">
        <v>10</v>
      </c>
      <c r="C30" s="17"/>
      <c r="D30" s="17"/>
      <c r="E30" s="17"/>
      <c r="F30" s="17"/>
      <c r="G30" s="17"/>
      <c r="H30" s="17"/>
      <c r="I30" s="17"/>
    </row>
  </sheetData>
  <mergeCells count="7">
    <mergeCell ref="B19:I19"/>
    <mergeCell ref="J6:L7"/>
    <mergeCell ref="B3:I3"/>
    <mergeCell ref="B2:I2"/>
    <mergeCell ref="B5:I5"/>
    <mergeCell ref="B9:E9"/>
    <mergeCell ref="B6:I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6C169-8664-4F56-AD9E-8A6BDB847D94}">
  <dimension ref="B2:F6"/>
  <sheetViews>
    <sheetView tabSelected="1" topLeftCell="B1" workbookViewId="0">
      <selection activeCell="H4" sqref="H4"/>
    </sheetView>
  </sheetViews>
  <sheetFormatPr defaultRowHeight="14.4" x14ac:dyDescent="0.3"/>
  <cols>
    <col min="2" max="6" width="12.109375" customWidth="1"/>
    <col min="8" max="8" width="43.6640625" customWidth="1"/>
  </cols>
  <sheetData>
    <row r="2" spans="2:6" ht="21" x14ac:dyDescent="0.4">
      <c r="B2" s="100" t="s">
        <v>95</v>
      </c>
      <c r="C2" s="100"/>
      <c r="D2" s="100"/>
      <c r="E2" s="100"/>
      <c r="F2" s="100"/>
    </row>
    <row r="3" spans="2:6" ht="49.5" customHeight="1" x14ac:dyDescent="0.3">
      <c r="B3" s="101" t="s">
        <v>96</v>
      </c>
      <c r="C3" s="101"/>
      <c r="D3" s="101"/>
      <c r="E3" s="101"/>
      <c r="F3" s="101"/>
    </row>
    <row r="4" spans="2:6" ht="110.25" customHeight="1" x14ac:dyDescent="0.3">
      <c r="B4" s="102" t="s">
        <v>97</v>
      </c>
      <c r="C4" s="101"/>
      <c r="D4" s="101"/>
      <c r="E4" s="101"/>
      <c r="F4" s="101"/>
    </row>
    <row r="5" spans="2:6" ht="41.25" customHeight="1" x14ac:dyDescent="0.3">
      <c r="B5" s="101" t="s">
        <v>98</v>
      </c>
      <c r="C5" s="103"/>
      <c r="D5" s="103"/>
      <c r="E5" s="103"/>
      <c r="F5" s="103"/>
    </row>
    <row r="6" spans="2:6" x14ac:dyDescent="0.3">
      <c r="B6" s="23"/>
    </row>
  </sheetData>
  <mergeCells count="4">
    <mergeCell ref="B2:F2"/>
    <mergeCell ref="B3:F3"/>
    <mergeCell ref="B4:F4"/>
    <mergeCell ref="B5:F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2CB06-4512-49C3-9588-F3553EA3D21E}">
  <dimension ref="B1:J3"/>
  <sheetViews>
    <sheetView workbookViewId="0">
      <selection activeCell="B2" sqref="B2"/>
    </sheetView>
  </sheetViews>
  <sheetFormatPr defaultRowHeight="14.4" x14ac:dyDescent="0.3"/>
  <cols>
    <col min="2" max="2" width="6.6640625" style="41" customWidth="1"/>
    <col min="3" max="3" width="14.6640625" style="35" bestFit="1" customWidth="1"/>
    <col min="4" max="4" width="14.5546875" style="35" bestFit="1" customWidth="1"/>
    <col min="5" max="5" width="12.88671875" style="35" bestFit="1" customWidth="1"/>
    <col min="6" max="6" width="21.5546875" style="42" bestFit="1" customWidth="1"/>
    <col min="7" max="7" width="15.5546875" style="35" bestFit="1" customWidth="1"/>
    <col min="8" max="8" width="12.44140625" style="35" customWidth="1"/>
    <col min="9" max="9" width="19.88671875" style="42" bestFit="1" customWidth="1"/>
    <col min="10" max="10" width="13.44140625" style="35" bestFit="1" customWidth="1"/>
  </cols>
  <sheetData>
    <row r="1" spans="2:10" x14ac:dyDescent="0.3">
      <c r="B1" s="1"/>
      <c r="C1" s="13"/>
      <c r="D1" s="13"/>
      <c r="E1" s="13"/>
      <c r="F1" s="40"/>
      <c r="G1" s="13"/>
      <c r="H1" s="13"/>
      <c r="I1" s="40"/>
      <c r="J1" s="13"/>
    </row>
    <row r="2" spans="2:10" s="3" customFormat="1" ht="25.5" customHeight="1" x14ac:dyDescent="0.3">
      <c r="B2" s="43" t="s">
        <v>43</v>
      </c>
      <c r="C2" s="43" t="s">
        <v>99</v>
      </c>
      <c r="D2" s="43" t="s">
        <v>1</v>
      </c>
      <c r="E2" s="43" t="s">
        <v>100</v>
      </c>
      <c r="F2" s="44" t="s">
        <v>101</v>
      </c>
      <c r="G2" s="43" t="s">
        <v>102</v>
      </c>
      <c r="H2" s="43" t="s">
        <v>89</v>
      </c>
      <c r="I2" s="44" t="s">
        <v>103</v>
      </c>
      <c r="J2" s="43" t="s">
        <v>104</v>
      </c>
    </row>
    <row r="3" spans="2:10" x14ac:dyDescent="0.3">
      <c r="B3" s="41">
        <v>1</v>
      </c>
      <c r="C3" s="35" t="s">
        <v>105</v>
      </c>
      <c r="D3" s="35" t="s">
        <v>106</v>
      </c>
      <c r="E3" s="35" t="s">
        <v>107</v>
      </c>
      <c r="F3" s="42">
        <f>30000000*22</f>
        <v>660000000</v>
      </c>
      <c r="G3" s="35" t="s">
        <v>108</v>
      </c>
      <c r="H3" s="35" t="s">
        <v>109</v>
      </c>
      <c r="I3" s="42">
        <v>300000000</v>
      </c>
      <c r="J3" s="42">
        <f>I3-F3</f>
        <v>-360000000</v>
      </c>
    </row>
  </sheetData>
  <dataValidations count="1">
    <dataValidation type="list" allowBlank="1" showInputMessage="1" showErrorMessage="1" sqref="H3:H1048576" xr:uid="{4490972C-F58F-494E-A777-C22E190389B4}">
      <formula1>"Approved,Not Approved"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 Project</vt:lpstr>
      <vt:lpstr>Profil Perusahaan Mitra</vt:lpstr>
      <vt:lpstr>Analisis Keuangan</vt:lpstr>
      <vt:lpstr>Analisis Risiko</vt:lpstr>
      <vt:lpstr>Dokumen Pendukung</vt:lpstr>
      <vt:lpstr>List NPA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synnovac</dc:creator>
  <cp:keywords/>
  <dc:description/>
  <cp:lastModifiedBy>muhammadfqhn@gmail.com</cp:lastModifiedBy>
  <cp:revision/>
  <dcterms:created xsi:type="dcterms:W3CDTF">2025-11-11T09:12:30Z</dcterms:created>
  <dcterms:modified xsi:type="dcterms:W3CDTF">2025-12-09T07:37:50Z</dcterms:modified>
  <cp:category/>
  <cp:contentStatus/>
</cp:coreProperties>
</file>